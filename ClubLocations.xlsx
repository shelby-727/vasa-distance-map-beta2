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safitness-my.sharepoint.com/personal/shelby_ingram_vasafitness_com/Documents/Desktop/Other/"/>
    </mc:Choice>
  </mc:AlternateContent>
  <xr:revisionPtr revIDLastSave="1" documentId="8_{00AE82B6-FB3F-44C7-ABC1-52444A9EE088}" xr6:coauthVersionLast="47" xr6:coauthVersionMax="47" xr10:uidLastSave="{7ED4BB77-290C-49E0-940A-4EEAA97549D7}"/>
  <bookViews>
    <workbookView xWindow="-28920" yWindow="-1800" windowWidth="29040" windowHeight="15720" xr2:uid="{5A8698D4-A3A8-46F5-A0E7-AB2B5007E19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  <c r="C68" i="1"/>
  <c r="C67" i="1"/>
  <c r="C66" i="1"/>
  <c r="C65" i="1"/>
  <c r="C60" i="1"/>
  <c r="C59" i="1"/>
  <c r="C57" i="1"/>
  <c r="C56" i="1"/>
  <c r="C55" i="1"/>
  <c r="C51" i="1"/>
  <c r="C50" i="1"/>
  <c r="C49" i="1"/>
  <c r="C48" i="1"/>
  <c r="C46" i="1"/>
  <c r="C44" i="1"/>
  <c r="C37" i="1"/>
  <c r="C34" i="1"/>
  <c r="C33" i="1"/>
  <c r="C26" i="1"/>
  <c r="C18" i="1"/>
  <c r="C17" i="1"/>
  <c r="C9" i="1"/>
  <c r="C8" i="1"/>
  <c r="T1" i="1"/>
  <c r="R1" i="1"/>
  <c r="P1" i="1"/>
  <c r="N1" i="1"/>
  <c r="L1" i="1"/>
  <c r="J1" i="1"/>
  <c r="H1" i="1"/>
  <c r="E1" i="1"/>
</calcChain>
</file>

<file path=xl/sharedStrings.xml><?xml version="1.0" encoding="utf-8"?>
<sst xmlns="http://schemas.openxmlformats.org/spreadsheetml/2006/main" count="886" uniqueCount="884">
  <si>
    <t>#</t>
  </si>
  <si>
    <t>CLUB</t>
  </si>
  <si>
    <t xml:space="preserve">ID </t>
  </si>
  <si>
    <t>GM</t>
  </si>
  <si>
    <t xml:space="preserve">GM CELL </t>
  </si>
  <si>
    <t>AGM</t>
  </si>
  <si>
    <t xml:space="preserve">MEL </t>
  </si>
  <si>
    <t>GFSTL/GFTL</t>
  </si>
  <si>
    <t>STL</t>
  </si>
  <si>
    <t>PTL</t>
  </si>
  <si>
    <t>CCTL</t>
  </si>
  <si>
    <t>MAINTENANCE TECH</t>
  </si>
  <si>
    <t xml:space="preserve">MT PHONE </t>
  </si>
  <si>
    <t>ADDRESS</t>
  </si>
  <si>
    <t>CLUB PHONE</t>
  </si>
  <si>
    <t>010</t>
  </si>
  <si>
    <t xml:space="preserve">Brickyard </t>
  </si>
  <si>
    <t>Temple Fuimaono</t>
  </si>
  <si>
    <t>215-500-6056</t>
  </si>
  <si>
    <t xml:space="preserve">Conner Ama </t>
  </si>
  <si>
    <t xml:space="preserve">Austin Isle </t>
  </si>
  <si>
    <t>Landon Barbee</t>
  </si>
  <si>
    <t xml:space="preserve">Claire Plimpton </t>
  </si>
  <si>
    <t>385-471-6726</t>
  </si>
  <si>
    <t>1172 E Brickyard Rd, Salt Lake City, UT 84106</t>
  </si>
  <si>
    <t>801-484-8786</t>
  </si>
  <si>
    <t>007</t>
  </si>
  <si>
    <t>West Valley 3500 S</t>
  </si>
  <si>
    <t>Luis Lorenzana</t>
  </si>
  <si>
    <t>801-661-3781</t>
  </si>
  <si>
    <t xml:space="preserve">Adrian Sirikhom </t>
  </si>
  <si>
    <t xml:space="preserve">Liana Cardoso </t>
  </si>
  <si>
    <t xml:space="preserve">Carlos Abrego </t>
  </si>
  <si>
    <t>Dacia Ng</t>
  </si>
  <si>
    <t>Michael Taylor</t>
  </si>
  <si>
    <t>385-800-0117</t>
  </si>
  <si>
    <t>3491 W 3500 S, West Valley, UT 84119</t>
  </si>
  <si>
    <t>801-969-2344</t>
  </si>
  <si>
    <t>021</t>
  </si>
  <si>
    <t>Magna (Centennial)</t>
  </si>
  <si>
    <t xml:space="preserve"> Mitchell Bradley </t>
  </si>
  <si>
    <t>801-828-8287</t>
  </si>
  <si>
    <t xml:space="preserve">Andrix Ayala </t>
  </si>
  <si>
    <t xml:space="preserve">Hunter Plese </t>
  </si>
  <si>
    <t xml:space="preserve">Ayrial Johnson </t>
  </si>
  <si>
    <t xml:space="preserve">Josh Van Wagoner </t>
  </si>
  <si>
    <t>801-828-8463</t>
  </si>
  <si>
    <t>3420 S 5600 W, West Valley City, UT 84120</t>
  </si>
  <si>
    <t>801-250-8272</t>
  </si>
  <si>
    <t>012</t>
  </si>
  <si>
    <t xml:space="preserve">Taylorsville </t>
  </si>
  <si>
    <t xml:space="preserve">Hunter Nicholls </t>
  </si>
  <si>
    <t>801-882-5510</t>
  </si>
  <si>
    <t>Senitalela Utuone</t>
  </si>
  <si>
    <t>Sandi Call</t>
  </si>
  <si>
    <t xml:space="preserve">Marley Sio </t>
  </si>
  <si>
    <t xml:space="preserve">Joe Holm </t>
  </si>
  <si>
    <t>801-502-3466</t>
  </si>
  <si>
    <t>5345 S 4015 W, Taylorsville, UT 84129</t>
  </si>
  <si>
    <t>801-912-0233</t>
  </si>
  <si>
    <t>015</t>
  </si>
  <si>
    <t xml:space="preserve">Tooele  </t>
  </si>
  <si>
    <t>Edrie Walker</t>
  </si>
  <si>
    <t>435-841-2097</t>
  </si>
  <si>
    <t xml:space="preserve">Kelsey Gilgen </t>
  </si>
  <si>
    <t>Stacy O'Rourke</t>
  </si>
  <si>
    <t xml:space="preserve">Jesja Beebe </t>
  </si>
  <si>
    <t xml:space="preserve"> Brittany Romeiser</t>
  </si>
  <si>
    <t>Alex Cummings</t>
  </si>
  <si>
    <t>435-659-8060</t>
  </si>
  <si>
    <t>250 N Main St, Tooele, UT 84074</t>
  </si>
  <si>
    <t>435-249-7133</t>
  </si>
  <si>
    <t>039</t>
  </si>
  <si>
    <t>Spanish Fork</t>
  </si>
  <si>
    <t>Jordan Beattie starts 2.25.26</t>
  </si>
  <si>
    <t>334-714-9427</t>
  </si>
  <si>
    <t>Opened 2.18.26 Taylor Bey last day 3.3.26</t>
  </si>
  <si>
    <t>Yanger Mendoza</t>
  </si>
  <si>
    <t>Mariann Landon</t>
  </si>
  <si>
    <t>Delphin Kilembi</t>
  </si>
  <si>
    <t>Kaitlin Maxfield</t>
  </si>
  <si>
    <t>Hayden Collins</t>
  </si>
  <si>
    <t>385-394-9690</t>
  </si>
  <si>
    <t>652 N 800 E, Spanish Fork, UT 84660</t>
  </si>
  <si>
    <t>801-798-9900</t>
  </si>
  <si>
    <t>001</t>
  </si>
  <si>
    <t>Provo</t>
  </si>
  <si>
    <t xml:space="preserve">Isabelle Little </t>
  </si>
  <si>
    <t>530-755-7433</t>
  </si>
  <si>
    <t xml:space="preserve">Taylor Kilgore </t>
  </si>
  <si>
    <t xml:space="preserve">Calvin Brady </t>
  </si>
  <si>
    <t xml:space="preserve">Dallan Handy </t>
  </si>
  <si>
    <t>385-482-7909</t>
  </si>
  <si>
    <t>460 N 900 E, Provo, UT 84606</t>
  </si>
  <si>
    <t>801-377-2666</t>
  </si>
  <si>
    <t>008</t>
  </si>
  <si>
    <t>University</t>
  </si>
  <si>
    <t xml:space="preserve">Wayne Farnsworth </t>
  </si>
  <si>
    <t>801-616-1685</t>
  </si>
  <si>
    <t>Christian Farmer</t>
  </si>
  <si>
    <t xml:space="preserve">Hayden Samuels </t>
  </si>
  <si>
    <t>Tyler Aliff</t>
  </si>
  <si>
    <t xml:space="preserve">Kaden Bayne </t>
  </si>
  <si>
    <t>Hannah Williams</t>
  </si>
  <si>
    <t>Troy Beal</t>
  </si>
  <si>
    <t>435-580-9550</t>
  </si>
  <si>
    <t>1259 S 800 E, Orem, UT 84097</t>
  </si>
  <si>
    <t>801-655-1139</t>
  </si>
  <si>
    <t>047</t>
  </si>
  <si>
    <t>North Orem</t>
  </si>
  <si>
    <t xml:space="preserve">Joshua Blackmer </t>
  </si>
  <si>
    <t>385-588-4867</t>
  </si>
  <si>
    <t xml:space="preserve">Amelia Chen </t>
  </si>
  <si>
    <t xml:space="preserve">Lizzie Palmer </t>
  </si>
  <si>
    <t>Natalie Wilkins</t>
  </si>
  <si>
    <t xml:space="preserve">Shawn Turner </t>
  </si>
  <si>
    <t xml:space="preserve">Haylie Amor </t>
  </si>
  <si>
    <t xml:space="preserve">Douglas Silva </t>
  </si>
  <si>
    <t>801-376-7969</t>
  </si>
  <si>
    <t>1585 N State St, Orem, UT 84057</t>
  </si>
  <si>
    <t>801-221-8272</t>
  </si>
  <si>
    <t>005</t>
  </si>
  <si>
    <t xml:space="preserve">American Fork </t>
  </si>
  <si>
    <t xml:space="preserve">Ethan Simons </t>
  </si>
  <si>
    <t>385-707-3387</t>
  </si>
  <si>
    <t>Richard Holloman</t>
  </si>
  <si>
    <t>Kailey Simmons</t>
  </si>
  <si>
    <t>Garrett Coyle</t>
  </si>
  <si>
    <t>Nancy Johnson</t>
  </si>
  <si>
    <t xml:space="preserve">Alexander Butler </t>
  </si>
  <si>
    <t>385-630-3511</t>
  </si>
  <si>
    <t>648 E State Rd, American Fork, UT 84003</t>
  </si>
  <si>
    <t>801-492-4652</t>
  </si>
  <si>
    <t>016</t>
  </si>
  <si>
    <t xml:space="preserve">Draper </t>
  </si>
  <si>
    <t>Luke Morrison</t>
  </si>
  <si>
    <t>603-630-8550</t>
  </si>
  <si>
    <t xml:space="preserve">Brynn Harwood </t>
  </si>
  <si>
    <t>Justin Adams</t>
  </si>
  <si>
    <t xml:space="preserve">Braden Bauer </t>
  </si>
  <si>
    <t>Jay Dettre</t>
  </si>
  <si>
    <t>775-253-4503</t>
  </si>
  <si>
    <t>12101 S State St, Draper, UT 84020</t>
  </si>
  <si>
    <t>801-262-8272</t>
  </si>
  <si>
    <t>018</t>
  </si>
  <si>
    <t>Riverton</t>
  </si>
  <si>
    <t xml:space="preserve">Cade Lambert </t>
  </si>
  <si>
    <t>530-526-3582</t>
  </si>
  <si>
    <t>Racheal Hill</t>
  </si>
  <si>
    <t>James Banford</t>
  </si>
  <si>
    <t>Stockton McClellan</t>
  </si>
  <si>
    <t xml:space="preserve">Jennifer Brown </t>
  </si>
  <si>
    <t>Reopened 1.14.26 Jared Burton starts 2.18.26</t>
  </si>
  <si>
    <t>801-500-5390</t>
  </si>
  <si>
    <t>1777 W 12600 S, Riverton, UT  84065</t>
  </si>
  <si>
    <t>801-255-8272</t>
  </si>
  <si>
    <t>048</t>
  </si>
  <si>
    <t xml:space="preserve">Herriman </t>
  </si>
  <si>
    <t xml:space="preserve">Bri Smith </t>
  </si>
  <si>
    <t>801-889-5686</t>
  </si>
  <si>
    <t>Jenny Rivera</t>
  </si>
  <si>
    <t xml:space="preserve">Samuel Davis </t>
  </si>
  <si>
    <t xml:space="preserve">Esteban French </t>
  </si>
  <si>
    <t>Krista Johnson</t>
  </si>
  <si>
    <t>Tyler Gordon</t>
  </si>
  <si>
    <t>385-227-3688</t>
  </si>
  <si>
    <t>13366 S Rosecrest Rd, Herriman, UT 84096</t>
  </si>
  <si>
    <t>801-305-1610</t>
  </si>
  <si>
    <t>017</t>
  </si>
  <si>
    <t xml:space="preserve">South Jordan </t>
  </si>
  <si>
    <t xml:space="preserve">Maayan Stafford </t>
  </si>
  <si>
    <t>918-925-2963</t>
  </si>
  <si>
    <t>Opened 2.20.26 Dylan Child last day 2.28.26</t>
  </si>
  <si>
    <t xml:space="preserve">McKenzie Turner </t>
  </si>
  <si>
    <t>Sean Kimsey</t>
  </si>
  <si>
    <t xml:space="preserve">Mckenzie Sheen </t>
  </si>
  <si>
    <t xml:space="preserve">Justin English </t>
  </si>
  <si>
    <t>801-889-0110</t>
  </si>
  <si>
    <t>3709 W South Jordan Pkwy, South Jordan, UT 84095</t>
  </si>
  <si>
    <t>801-446-1100</t>
  </si>
  <si>
    <t>006</t>
  </si>
  <si>
    <t xml:space="preserve">West Jordan </t>
  </si>
  <si>
    <t>Parker Devey</t>
  </si>
  <si>
    <t>801-651-1454</t>
  </si>
  <si>
    <t>Brock Johnson</t>
  </si>
  <si>
    <t>Abril Marquez</t>
  </si>
  <si>
    <t>Katie Martindale</t>
  </si>
  <si>
    <t>Kara Ranada</t>
  </si>
  <si>
    <t>Jason Collins</t>
  </si>
  <si>
    <t>801-745-7440</t>
  </si>
  <si>
    <t>7836 S Redwood Rd, West Jordan, UT 84088</t>
  </si>
  <si>
    <t>801-565-1800</t>
  </si>
  <si>
    <t>011</t>
  </si>
  <si>
    <t>Murray Van Winkle</t>
  </si>
  <si>
    <t>Siaosi Hala'ufia</t>
  </si>
  <si>
    <t>209-981-5764</t>
  </si>
  <si>
    <t xml:space="preserve">Mariana Rodriguez </t>
  </si>
  <si>
    <t xml:space="preserve">Michaela Eisenhut </t>
  </si>
  <si>
    <t xml:space="preserve">Ethan Hearne </t>
  </si>
  <si>
    <t>Clarissa Cruz Solano</t>
  </si>
  <si>
    <t xml:space="preserve">Isaiah Sanchez </t>
  </si>
  <si>
    <t>801-839-6293</t>
  </si>
  <si>
    <t>5518 S Van Winkle, Murray, UT 84117</t>
  </si>
  <si>
    <t>801-277-8668</t>
  </si>
  <si>
    <t>009</t>
  </si>
  <si>
    <t>Sandy</t>
  </si>
  <si>
    <t xml:space="preserve">Lillianna Anderson </t>
  </si>
  <si>
    <t>805-710-4588</t>
  </si>
  <si>
    <t>Opened 2.12.26 Will Murray last day 3.1.26</t>
  </si>
  <si>
    <t xml:space="preserve">Richelle Anderson </t>
  </si>
  <si>
    <t>Khara Dimick</t>
  </si>
  <si>
    <t>Samantha Blevins</t>
  </si>
  <si>
    <t>Yessenia Garcia</t>
  </si>
  <si>
    <t>Jordan Graham</t>
  </si>
  <si>
    <t>801-573-6412</t>
  </si>
  <si>
    <t>7990 S 1300 E, Sandy, UT 84094</t>
  </si>
  <si>
    <t>801-858-2002</t>
  </si>
  <si>
    <t>060</t>
  </si>
  <si>
    <t>Lehi</t>
  </si>
  <si>
    <t xml:space="preserve">Winston Coxon </t>
  </si>
  <si>
    <t>801-884-3370</t>
  </si>
  <si>
    <t xml:space="preserve">Jonah Lewis </t>
  </si>
  <si>
    <t>Opened 2.11.26</t>
  </si>
  <si>
    <t>Kyle Garcia covering until filled</t>
  </si>
  <si>
    <t>Carlos Urdanete</t>
  </si>
  <si>
    <t>Dani Sagiao</t>
  </si>
  <si>
    <t>Opened 2.12.26</t>
  </si>
  <si>
    <t>1640 E 3500 N, Lehi, UT 84043</t>
  </si>
  <si>
    <t>801-939-3452</t>
  </si>
  <si>
    <t>062</t>
  </si>
  <si>
    <t>Saratoga Springs</t>
  </si>
  <si>
    <t xml:space="preserve">Jamie Shaw </t>
  </si>
  <si>
    <t>801-898-8504</t>
  </si>
  <si>
    <t xml:space="preserve">Mackenzie Quarry </t>
  </si>
  <si>
    <t xml:space="preserve">Amber Dutkiewicz </t>
  </si>
  <si>
    <t xml:space="preserve">Eddie Kill </t>
  </si>
  <si>
    <t xml:space="preserve">Aryann Aird </t>
  </si>
  <si>
    <t>Eric Hurns starts 3.2.26</t>
  </si>
  <si>
    <t xml:space="preserve"> Jackie Hall </t>
  </si>
  <si>
    <t xml:space="preserve">Makaio Roberts + PT Chris Roberts </t>
  </si>
  <si>
    <t>801-410-3157/385-377-6805</t>
  </si>
  <si>
    <t>1320 S Redwood Rd, Saratoga Springs, UT 84045</t>
  </si>
  <si>
    <t>801-766-8272</t>
  </si>
  <si>
    <t>002</t>
  </si>
  <si>
    <t>Cedar City</t>
  </si>
  <si>
    <t>Opened 2.16.26 Taylor Fife last day 3.1.26</t>
  </si>
  <si>
    <t>808-721-0016</t>
  </si>
  <si>
    <t xml:space="preserve">Olaea Puefua </t>
  </si>
  <si>
    <t xml:space="preserve">Cindy Briggs </t>
  </si>
  <si>
    <t xml:space="preserve">Luke Barr </t>
  </si>
  <si>
    <t>Justin Wimsatt</t>
  </si>
  <si>
    <t>435-590-0309</t>
  </si>
  <si>
    <t>1605 West Regency Rd, Cedar City, UT 84720</t>
  </si>
  <si>
    <t>435-867-5077</t>
  </si>
  <si>
    <t>014</t>
  </si>
  <si>
    <t>St. George</t>
  </si>
  <si>
    <t>Eric Hurns last day 2.28.26/Taylor Fife starts 3.2.26</t>
  </si>
  <si>
    <t>302-480-3472/808-721-0016</t>
  </si>
  <si>
    <t>Jennifer Redwine</t>
  </si>
  <si>
    <t xml:space="preserve">Ava Reece </t>
  </si>
  <si>
    <t>Brice Page</t>
  </si>
  <si>
    <t xml:space="preserve">Abigail Cooter </t>
  </si>
  <si>
    <t>Opened 2.18.26</t>
  </si>
  <si>
    <t>484 N Mall Dr, St. George, UT 84790</t>
  </si>
  <si>
    <t>435-628-9201</t>
  </si>
  <si>
    <t>051</t>
  </si>
  <si>
    <t>Phoenix  Northern Ave</t>
  </si>
  <si>
    <t>Hero Pham</t>
  </si>
  <si>
    <t>602-535-6240</t>
  </si>
  <si>
    <t xml:space="preserve">Joselyn Segoviano Velazquez </t>
  </si>
  <si>
    <t>Tabatha Ward</t>
  </si>
  <si>
    <t xml:space="preserve">Rene Herrera </t>
  </si>
  <si>
    <t xml:space="preserve">Geo Villa Diaz </t>
  </si>
  <si>
    <t xml:space="preserve">Lunalilo Wilcox </t>
  </si>
  <si>
    <t>808-738-7468</t>
  </si>
  <si>
    <t>8021 N 35th Ave, Phoenix, AZ 85051</t>
  </si>
  <si>
    <t>602-610-8078</t>
  </si>
  <si>
    <t>042</t>
  </si>
  <si>
    <t>Phoenix East Thunderbird &amp; 32nd (2)</t>
  </si>
  <si>
    <t>Liz Dubberke</t>
  </si>
  <si>
    <t>602-821-0909</t>
  </si>
  <si>
    <t xml:space="preserve">Zach Cole </t>
  </si>
  <si>
    <t xml:space="preserve">Carter Englund </t>
  </si>
  <si>
    <t xml:space="preserve">Rebekah Perry </t>
  </si>
  <si>
    <t xml:space="preserve">Abby Golladay </t>
  </si>
  <si>
    <t>Kyle Bland</t>
  </si>
  <si>
    <t>602-517-3891</t>
  </si>
  <si>
    <t>3131 E Thunderbird Rd, Phoenix, AZ 85032</t>
  </si>
  <si>
    <t>602-476-2666</t>
  </si>
  <si>
    <t>038</t>
  </si>
  <si>
    <t>Phoenix West Thunderbird &amp; 43rd</t>
  </si>
  <si>
    <t xml:space="preserve">Abraham Garcia </t>
  </si>
  <si>
    <t>602-777-0277</t>
  </si>
  <si>
    <t xml:space="preserve">Zane Brethour </t>
  </si>
  <si>
    <t xml:space="preserve">Keith Lockwood </t>
  </si>
  <si>
    <t xml:space="preserve">Nikco Brown </t>
  </si>
  <si>
    <t xml:space="preserve">Evelyn Tapia </t>
  </si>
  <si>
    <t xml:space="preserve">Nicholas Courtier </t>
  </si>
  <si>
    <t>623-666-3404</t>
  </si>
  <si>
    <t>4255 W Thunderbird Rd, Phoenix, AZ 85053</t>
  </si>
  <si>
    <t>602-603-0811</t>
  </si>
  <si>
    <t>044</t>
  </si>
  <si>
    <t>Tucson</t>
  </si>
  <si>
    <t xml:space="preserve">Deanna Eyrich </t>
  </si>
  <si>
    <t>406-679-1324</t>
  </si>
  <si>
    <t>Opened 2.23.26</t>
  </si>
  <si>
    <t>Emily Riley-Saxton covering until filled</t>
  </si>
  <si>
    <t xml:space="preserve">David Corbett </t>
  </si>
  <si>
    <t>Azaraie Morris</t>
  </si>
  <si>
    <t>Gary Payne</t>
  </si>
  <si>
    <t>520-609-4766</t>
  </si>
  <si>
    <t>3920 E Grant Rd, Tucson, AZ, 85712</t>
  </si>
  <si>
    <t>520-232-2044</t>
  </si>
  <si>
    <t>035</t>
  </si>
  <si>
    <t>Chandler</t>
  </si>
  <si>
    <t>Anthony Symonds</t>
  </si>
  <si>
    <t>510-681-9039</t>
  </si>
  <si>
    <t>Sakyra Oliver</t>
  </si>
  <si>
    <t>Connor Wickland covering until filled</t>
  </si>
  <si>
    <t>Daniel Ortega</t>
  </si>
  <si>
    <t>Amelia Faaumu</t>
  </si>
  <si>
    <t xml:space="preserve">Javier Reyes </t>
  </si>
  <si>
    <t>310-902-5269</t>
  </si>
  <si>
    <t>1200 N Alma School Rd. Chandler, AZ 85224</t>
  </si>
  <si>
    <t>602-603-0814</t>
  </si>
  <si>
    <t>019</t>
  </si>
  <si>
    <t>Ogden</t>
  </si>
  <si>
    <t>Matt Hull</t>
  </si>
  <si>
    <t>385-469-9404</t>
  </si>
  <si>
    <t xml:space="preserve">Sierra Shumway </t>
  </si>
  <si>
    <t xml:space="preserve">Heather Bloomquist </t>
  </si>
  <si>
    <t xml:space="preserve">Danny Grant </t>
  </si>
  <si>
    <t xml:space="preserve">Mandy Bell </t>
  </si>
  <si>
    <t xml:space="preserve">Sydney Westbrook </t>
  </si>
  <si>
    <t xml:space="preserve">Lance Deveraux </t>
  </si>
  <si>
    <t>801-388-5865</t>
  </si>
  <si>
    <t>1150 Washington Blvd, Ogden, UT 84404</t>
  </si>
  <si>
    <t>801-621-8272</t>
  </si>
  <si>
    <t>027</t>
  </si>
  <si>
    <r>
      <t>Clinton</t>
    </r>
    <r>
      <rPr>
        <sz val="11"/>
        <color rgb="FFFF0000"/>
        <rFont val="Aptos Narrow"/>
        <family val="2"/>
        <scheme val="minor"/>
      </rPr>
      <t xml:space="preserve"> </t>
    </r>
  </si>
  <si>
    <t xml:space="preserve">Cody Wiser </t>
  </si>
  <si>
    <t>435-553-9273</t>
  </si>
  <si>
    <t xml:space="preserve">Kevin Crosland </t>
  </si>
  <si>
    <t xml:space="preserve">Megan Baldwin </t>
  </si>
  <si>
    <t xml:space="preserve">Danielle Goodrich </t>
  </si>
  <si>
    <t>Irving Gastelum</t>
  </si>
  <si>
    <t xml:space="preserve">Jenna Wheelwright </t>
  </si>
  <si>
    <t xml:space="preserve">Gilbert Mitchell </t>
  </si>
  <si>
    <t>801-645-9295</t>
  </si>
  <si>
    <t>2642 N 200 W, Clinton, UT 84015</t>
  </si>
  <si>
    <t>801-774-8272</t>
  </si>
  <si>
    <t>024</t>
  </si>
  <si>
    <t xml:space="preserve">Layton </t>
  </si>
  <si>
    <t>Hugo Luviano</t>
  </si>
  <si>
    <t>801-425-9085</t>
  </si>
  <si>
    <t xml:space="preserve">Dominic Pena-McMahon </t>
  </si>
  <si>
    <t xml:space="preserve">Erica Carnivalli </t>
  </si>
  <si>
    <t>Beth O'Driscoll</t>
  </si>
  <si>
    <t xml:space="preserve">Kameryn Denny </t>
  </si>
  <si>
    <t>Jon Chavez</t>
  </si>
  <si>
    <t>801-668-7387</t>
  </si>
  <si>
    <t>2076 N Main St, Layton, UT 84041</t>
  </si>
  <si>
    <t>801-771-8272</t>
  </si>
  <si>
    <t>036</t>
  </si>
  <si>
    <r>
      <t>Kaysville</t>
    </r>
    <r>
      <rPr>
        <sz val="11"/>
        <color rgb="FFFF0000"/>
        <rFont val="Aptos Narrow"/>
        <family val="2"/>
        <scheme val="minor"/>
      </rPr>
      <t xml:space="preserve"> </t>
    </r>
  </si>
  <si>
    <t xml:space="preserve">Jade Anderson </t>
  </si>
  <si>
    <t>801-979-9103</t>
  </si>
  <si>
    <t xml:space="preserve">Alyssa Pina </t>
  </si>
  <si>
    <t xml:space="preserve">Olivia Fox </t>
  </si>
  <si>
    <t>Ariel Warrior</t>
  </si>
  <si>
    <t>Michelle Lavine</t>
  </si>
  <si>
    <t>Chris Seward</t>
  </si>
  <si>
    <t>208-640-4403</t>
  </si>
  <si>
    <t xml:space="preserve">170 W 200 N, Kaysville, UT 84037 </t>
  </si>
  <si>
    <t>385-319-7818</t>
  </si>
  <si>
    <t>013</t>
  </si>
  <si>
    <t xml:space="preserve">Bountiful </t>
  </si>
  <si>
    <t xml:space="preserve">Opened 2.4.25  </t>
  </si>
  <si>
    <t>801-317-3935</t>
  </si>
  <si>
    <t>Opened 2.5.26 Dylan Child starts 3.1.26</t>
  </si>
  <si>
    <t>Amber Wood</t>
  </si>
  <si>
    <t>Vincent Munoz</t>
  </si>
  <si>
    <t xml:space="preserve">Matthew Sterner </t>
  </si>
  <si>
    <t>801-558-8407</t>
  </si>
  <si>
    <t>250 W 1500 S, Bountiful, UT, 84010</t>
  </si>
  <si>
    <t>801-397-2777</t>
  </si>
  <si>
    <t>049</t>
  </si>
  <si>
    <t>Indy Thompson (1)</t>
  </si>
  <si>
    <t>Ellen Switzer</t>
  </si>
  <si>
    <t>765-918-4718</t>
  </si>
  <si>
    <t xml:space="preserve">Will Smith </t>
  </si>
  <si>
    <t>Opened 2.6.26 Will covering for next few weeks</t>
  </si>
  <si>
    <t xml:space="preserve">Paula Oliveira-Lamey </t>
  </si>
  <si>
    <t>Morris Virgil-Winston</t>
  </si>
  <si>
    <t>KT McCallister</t>
  </si>
  <si>
    <t>Brittany Jones</t>
  </si>
  <si>
    <t xml:space="preserve">Rob Davis/ Don Proctor </t>
  </si>
  <si>
    <t xml:space="preserve">317-400-5615/ 618-606-6984  </t>
  </si>
  <si>
    <t>5325 Thompson Rd, Indianapolis, IN 46237</t>
  </si>
  <si>
    <t>317-222-1220</t>
  </si>
  <si>
    <t>050</t>
  </si>
  <si>
    <t>Lafayette</t>
  </si>
  <si>
    <t xml:space="preserve">Leanna Early </t>
  </si>
  <si>
    <t>219-669-3225</t>
  </si>
  <si>
    <t xml:space="preserve">Melissa Fields </t>
  </si>
  <si>
    <t xml:space="preserve">Opened 1.14.26 </t>
  </si>
  <si>
    <t xml:space="preserve">Jocey Gault </t>
  </si>
  <si>
    <t xml:space="preserve">Candance Samaniego </t>
  </si>
  <si>
    <t xml:space="preserve">Trinity Berning </t>
  </si>
  <si>
    <t>765-418-3878</t>
  </si>
  <si>
    <t>3825 South St, Lafayette, IN 47905</t>
  </si>
  <si>
    <t>765-637-7282</t>
  </si>
  <si>
    <t>054</t>
  </si>
  <si>
    <t>Indy Eagle Creek (2)</t>
  </si>
  <si>
    <t xml:space="preserve">Kaylah Trombly </t>
  </si>
  <si>
    <t>805-708-2490</t>
  </si>
  <si>
    <t>Stephen Holley</t>
  </si>
  <si>
    <t xml:space="preserve">Wala Shordom </t>
  </si>
  <si>
    <t xml:space="preserve">Matt Crow </t>
  </si>
  <si>
    <t xml:space="preserve">Joycelynn West </t>
  </si>
  <si>
    <t>Maddisen Roller</t>
  </si>
  <si>
    <t>765-776-7399</t>
  </si>
  <si>
    <t>6965 W 38th St, Indianapolis, IN 46254</t>
  </si>
  <si>
    <t>317-559-4244</t>
  </si>
  <si>
    <t>079</t>
  </si>
  <si>
    <t>Indy Castleton</t>
  </si>
  <si>
    <t>Kimberly Robinson</t>
  </si>
  <si>
    <t>270-206-2423</t>
  </si>
  <si>
    <t>Leslie Thomas</t>
  </si>
  <si>
    <t>Jasz Frazier</t>
  </si>
  <si>
    <t>Marcus Gray</t>
  </si>
  <si>
    <t>Michael Parker</t>
  </si>
  <si>
    <t>Sofia Vanegas</t>
  </si>
  <si>
    <t>Kail Smith</t>
  </si>
  <si>
    <t>765-225-8239</t>
  </si>
  <si>
    <t>8315 Center Run Dr, Indianapolis, IN 46250</t>
  </si>
  <si>
    <t>314-444-8996</t>
  </si>
  <si>
    <t>067</t>
  </si>
  <si>
    <t>Wheaton</t>
  </si>
  <si>
    <t xml:space="preserve">Ryan Scumaci </t>
  </si>
  <si>
    <t>815-212-4864</t>
  </si>
  <si>
    <t xml:space="preserve">Deshawn Elliot </t>
  </si>
  <si>
    <t>Priya Kumar</t>
  </si>
  <si>
    <t xml:space="preserve">Logan Michels </t>
  </si>
  <si>
    <t>Khalil Brooks</t>
  </si>
  <si>
    <t xml:space="preserve">Dana Meecham </t>
  </si>
  <si>
    <t>Abraham Jimenez</t>
  </si>
  <si>
    <t>630-550-9944</t>
  </si>
  <si>
    <t>501 South County Farm Rd, Wheaton, IL 60187</t>
  </si>
  <si>
    <t>630-310-8586</t>
  </si>
  <si>
    <t>069</t>
  </si>
  <si>
    <t>Northbrook</t>
  </si>
  <si>
    <t>Brian Kravcar</t>
  </si>
  <si>
    <t>630-885-3235</t>
  </si>
  <si>
    <t xml:space="preserve">Simran Jiandani </t>
  </si>
  <si>
    <t xml:space="preserve">Anyuria Delgado </t>
  </si>
  <si>
    <t xml:space="preserve">Aaron Herrera </t>
  </si>
  <si>
    <t xml:space="preserve"> Kaylee Dempsey </t>
  </si>
  <si>
    <t xml:space="preserve">Gabriel Smith </t>
  </si>
  <si>
    <t>312-312-1125</t>
  </si>
  <si>
    <t>4125 E Dundee Road, Northbrook, IL 60062</t>
  </si>
  <si>
    <t>847-233-1071</t>
  </si>
  <si>
    <t>077</t>
  </si>
  <si>
    <t>Crystal Lake</t>
  </si>
  <si>
    <t xml:space="preserve">Jennifer Barrer </t>
  </si>
  <si>
    <t>630-400-1707</t>
  </si>
  <si>
    <t>Conrado (JR) Penera</t>
  </si>
  <si>
    <t>Michelle Kpandeyenge</t>
  </si>
  <si>
    <t xml:space="preserve">Mikayla Drake </t>
  </si>
  <si>
    <t>Stephen LeDonne</t>
  </si>
  <si>
    <t>Jacquelyn Butler</t>
  </si>
  <si>
    <t>Emmanuel Hernandez-Jimenez</t>
  </si>
  <si>
    <t>815-900-6130</t>
  </si>
  <si>
    <t>6120 Northwest Highway, Crystal Lake, IL 60014</t>
  </si>
  <si>
    <t>815-429-7048</t>
  </si>
  <si>
    <t>056</t>
  </si>
  <si>
    <t>Villa Park</t>
  </si>
  <si>
    <t xml:space="preserve">Christian Rivera </t>
  </si>
  <si>
    <t>708-835-9502</t>
  </si>
  <si>
    <t>Alicia Salgado</t>
  </si>
  <si>
    <t>Reniece Ruggs</t>
  </si>
  <si>
    <t>Opened 1.30.26 Ken Woods starts 3.2.26</t>
  </si>
  <si>
    <t xml:space="preserve">Edna Garcia </t>
  </si>
  <si>
    <t>Andrew Broyles</t>
  </si>
  <si>
    <t>630-943-5841</t>
  </si>
  <si>
    <t>300 W North Ave, Villa Park, IL 60181</t>
  </si>
  <si>
    <t>630-785-2626</t>
  </si>
  <si>
    <t xml:space="preserve">057 </t>
  </si>
  <si>
    <t>New Berlin</t>
  </si>
  <si>
    <t xml:space="preserve">Albert Fung </t>
  </si>
  <si>
    <t>312-539-6156</t>
  </si>
  <si>
    <t xml:space="preserve">Grace Cruz Lugo </t>
  </si>
  <si>
    <t xml:space="preserve">Olive Fuchs </t>
  </si>
  <si>
    <t>Amy Friese</t>
  </si>
  <si>
    <t>Opened 1.28.26 Gracemarie Cruz Lugo covering until filled</t>
  </si>
  <si>
    <t>Opened 2.16.26 Mike Erickson last day 3.2.26</t>
  </si>
  <si>
    <t>262-825-3199</t>
  </si>
  <si>
    <t>13995 W National Ave, New Berlin, WI 53151</t>
  </si>
  <si>
    <t>262-258-2920</t>
  </si>
  <si>
    <t>071</t>
  </si>
  <si>
    <t>Racine</t>
  </si>
  <si>
    <t>Shelby Crawford</t>
  </si>
  <si>
    <t>262-977-1850</t>
  </si>
  <si>
    <t>Maha Alchaar</t>
  </si>
  <si>
    <t xml:space="preserve">Hailey Rubisch </t>
  </si>
  <si>
    <t>Maddie Wills starts 3.16.26</t>
  </si>
  <si>
    <t xml:space="preserve">Jeremiah Hull </t>
  </si>
  <si>
    <t>Nicolas Lopez</t>
  </si>
  <si>
    <t xml:space="preserve">Hugo Hernandez </t>
  </si>
  <si>
    <t>414-491-9881</t>
  </si>
  <si>
    <t>5201 Washington Ave, Suite 4, Racine, WI 53406</t>
  </si>
  <si>
    <t>262-258-0982</t>
  </si>
  <si>
    <t>076</t>
  </si>
  <si>
    <t>Rockford</t>
  </si>
  <si>
    <t>Jonathan Hanson</t>
  </si>
  <si>
    <t>515-338-0141</t>
  </si>
  <si>
    <t xml:space="preserve">Xavier Kimbrough </t>
  </si>
  <si>
    <t>Opened 2.23.26 Lynn Early last day 3.7.26</t>
  </si>
  <si>
    <t xml:space="preserve">Mary Angeline Kaminski </t>
  </si>
  <si>
    <t xml:space="preserve">Cortnee McReynolds </t>
  </si>
  <si>
    <t xml:space="preserve">Akayla Flannigan </t>
  </si>
  <si>
    <t xml:space="preserve">Jon Huls </t>
  </si>
  <si>
    <t>608-302-8647</t>
  </si>
  <si>
    <t>2601 N Mulford RD, Unit A, Rockford, IL, 61114</t>
  </si>
  <si>
    <t>815-930-3323</t>
  </si>
  <si>
    <t>055</t>
  </si>
  <si>
    <t>Joliet</t>
  </si>
  <si>
    <t>Kevin Macias</t>
  </si>
  <si>
    <t>630-597-3088</t>
  </si>
  <si>
    <t xml:space="preserve">Devon Coleman </t>
  </si>
  <si>
    <t xml:space="preserve">Zee Santiago </t>
  </si>
  <si>
    <t>Jose Martinez</t>
  </si>
  <si>
    <t>Marina Badillo</t>
  </si>
  <si>
    <t>Carlos Reyes</t>
  </si>
  <si>
    <t>779-279-2117</t>
  </si>
  <si>
    <t>1590 N Larkin Ave, Joliet, IL 60435</t>
  </si>
  <si>
    <t>815-352-6895</t>
  </si>
  <si>
    <t>063</t>
  </si>
  <si>
    <t xml:space="preserve">Glendale Heights </t>
  </si>
  <si>
    <t xml:space="preserve">Clint Campbell </t>
  </si>
  <si>
    <t>773-968-1079</t>
  </si>
  <si>
    <t xml:space="preserve">Jacqueline Goins </t>
  </si>
  <si>
    <t xml:space="preserve">Lisa Piec </t>
  </si>
  <si>
    <t xml:space="preserve">Christian Rodriguez </t>
  </si>
  <si>
    <t xml:space="preserve">Lilia Guralnik </t>
  </si>
  <si>
    <t xml:space="preserve">Leidy Walleck </t>
  </si>
  <si>
    <t>Edwin Martinez Jr</t>
  </si>
  <si>
    <t>312-481-0423</t>
  </si>
  <si>
    <t>125 Army Trail Rd, Glendale Heights, IL 60139</t>
  </si>
  <si>
    <t>630-517-4582</t>
  </si>
  <si>
    <t>066</t>
  </si>
  <si>
    <t>Oswego</t>
  </si>
  <si>
    <t>Opened 2.9.26 Justin Rudow covering until filled</t>
  </si>
  <si>
    <t>630-802-9230</t>
  </si>
  <si>
    <t>Jack Dorsey</t>
  </si>
  <si>
    <t xml:space="preserve">Carmen Adams </t>
  </si>
  <si>
    <t xml:space="preserve">Mindy Ehrenfeld </t>
  </si>
  <si>
    <t xml:space="preserve">Opened 1.27.26 </t>
  </si>
  <si>
    <t xml:space="preserve">Bri Seidelman </t>
  </si>
  <si>
    <t xml:space="preserve">Elizabeth Shields </t>
  </si>
  <si>
    <t xml:space="preserve">Emilio Larregui </t>
  </si>
  <si>
    <t>630-200-1912</t>
  </si>
  <si>
    <t>3010 Route 34, Oswego, IL 60543</t>
  </si>
  <si>
    <t>630-987-4251</t>
  </si>
  <si>
    <t>074</t>
  </si>
  <si>
    <t>Matteson</t>
  </si>
  <si>
    <t xml:space="preserve">Shaneeka Johnson </t>
  </si>
  <si>
    <t>773-597-5624</t>
  </si>
  <si>
    <t xml:space="preserve">Eshe Mance-Porter </t>
  </si>
  <si>
    <t xml:space="preserve">Linda Maurella </t>
  </si>
  <si>
    <t xml:space="preserve">Davon Smith </t>
  </si>
  <si>
    <t xml:space="preserve">Lizzie Welch </t>
  </si>
  <si>
    <t xml:space="preserve">K'Shawn Davis </t>
  </si>
  <si>
    <t>313-329-3199</t>
  </si>
  <si>
    <t>4011 Lincoln Highway, Matteson, IL 60443</t>
  </si>
  <si>
    <t>708-688-0073</t>
  </si>
  <si>
    <t>Greeley </t>
  </si>
  <si>
    <t xml:space="preserve">Molly Billadeau </t>
  </si>
  <si>
    <t>970-988-1425</t>
  </si>
  <si>
    <t>Sofia Ruelas</t>
  </si>
  <si>
    <t xml:space="preserve">Lorie Chance </t>
  </si>
  <si>
    <t xml:space="preserve">Angel Tarango </t>
  </si>
  <si>
    <t xml:space="preserve">Schuyler Tonn </t>
  </si>
  <si>
    <t xml:space="preserve">Sean Norton </t>
  </si>
  <si>
    <t>720-645-4610</t>
  </si>
  <si>
    <t>2325 23rd Ave, Greeley, CO 80634</t>
  </si>
  <si>
    <t>970-356-8272</t>
  </si>
  <si>
    <t>Thornton </t>
  </si>
  <si>
    <t xml:space="preserve">Opened 12.16.25 </t>
  </si>
  <si>
    <t xml:space="preserve">Gabriel (Sonny) Kerrihard </t>
  </si>
  <si>
    <t>Opened 11.21.25</t>
  </si>
  <si>
    <t>Opened 1.29.26</t>
  </si>
  <si>
    <t xml:space="preserve">Nicholas Garcia </t>
  </si>
  <si>
    <t>Opened 2.17.26 Nataly Priego starts 2.26.26</t>
  </si>
  <si>
    <t xml:space="preserve">Steve Wise </t>
  </si>
  <si>
    <t>505-550-7827</t>
  </si>
  <si>
    <t>1420 E 104th Ave, Thornton, CO 80233</t>
  </si>
  <si>
    <t>303-255-8272</t>
  </si>
  <si>
    <t>Westminster Church (1)</t>
  </si>
  <si>
    <t xml:space="preserve">Jordan Brown </t>
  </si>
  <si>
    <t>206-802-5752</t>
  </si>
  <si>
    <t xml:space="preserve">Nicolas Martinez </t>
  </si>
  <si>
    <t xml:space="preserve"> Ireland Shea </t>
  </si>
  <si>
    <t xml:space="preserve">Brittany Kurtz </t>
  </si>
  <si>
    <t>Yaya Jora</t>
  </si>
  <si>
    <t>Kelley Benavides</t>
  </si>
  <si>
    <t>Opened 2.9.26</t>
  </si>
  <si>
    <t>303-414-9002</t>
  </si>
  <si>
    <t>8543 Church Ranch Blvd, Westminster, CO 80021</t>
  </si>
  <si>
    <t>303-297-8272</t>
  </si>
  <si>
    <t>Westminster Federal (2)</t>
  </si>
  <si>
    <t xml:space="preserve">Adam Roberts </t>
  </si>
  <si>
    <t>903-701-7054</t>
  </si>
  <si>
    <t xml:space="preserve">Calvin Queen </t>
  </si>
  <si>
    <t xml:space="preserve">Stephanie LaMalfa </t>
  </si>
  <si>
    <t>Kenny Kriegel</t>
  </si>
  <si>
    <t xml:space="preserve">Joshua Francis </t>
  </si>
  <si>
    <t>Monica Valdez</t>
  </si>
  <si>
    <t xml:space="preserve">David Brena </t>
  </si>
  <si>
    <t>720-257-1433</t>
  </si>
  <si>
    <t>7353 Federal Blvd, Westminster, CO 80030</t>
  </si>
  <si>
    <t>303-317-2630</t>
  </si>
  <si>
    <t>Westminster Zuni (3)</t>
  </si>
  <si>
    <t xml:space="preserve">Nico Ruscitti </t>
  </si>
  <si>
    <t>970-301-5430</t>
  </si>
  <si>
    <t>America Baeza</t>
  </si>
  <si>
    <t>Rachel Smith</t>
  </si>
  <si>
    <t>Elena Greenwalt</t>
  </si>
  <si>
    <t xml:space="preserve">Terence Mahoney </t>
  </si>
  <si>
    <t xml:space="preserve">Caitlin Sanders </t>
  </si>
  <si>
    <t xml:space="preserve">Bobby Perez </t>
  </si>
  <si>
    <t>719-487-4366</t>
  </si>
  <si>
    <t>12900 Zuni St, Westminster, CO 80234</t>
  </si>
  <si>
    <t>720-506-3434</t>
  </si>
  <si>
    <t>Longmont</t>
  </si>
  <si>
    <t xml:space="preserve">Erick Palomino </t>
  </si>
  <si>
    <t>970-393-3384</t>
  </si>
  <si>
    <t>Sarah Moore</t>
  </si>
  <si>
    <t xml:space="preserve">Jaime Arreola </t>
  </si>
  <si>
    <t>Liliana Resendiz Ramirez</t>
  </si>
  <si>
    <t>Opened 1.27.26</t>
  </si>
  <si>
    <t xml:space="preserve">Gustavo Pedraza </t>
  </si>
  <si>
    <t xml:space="preserve">Cisco Vasquez </t>
  </si>
  <si>
    <t>720-312-0278</t>
  </si>
  <si>
    <t>630 Pace Street, Longmont, CO, 80504</t>
  </si>
  <si>
    <t>720-770-8946</t>
  </si>
  <si>
    <t>Lafayette-Baseline</t>
  </si>
  <si>
    <t xml:space="preserve">Shelby Wade </t>
  </si>
  <si>
    <t>303-889-9718</t>
  </si>
  <si>
    <t>Gabriela Lopez-Ortiz</t>
  </si>
  <si>
    <t xml:space="preserve">Heather Doran </t>
  </si>
  <si>
    <t>Zoe Colombo</t>
  </si>
  <si>
    <t xml:space="preserve">Marietta Roberts </t>
  </si>
  <si>
    <t xml:space="preserve">Kelsey Hughes </t>
  </si>
  <si>
    <t xml:space="preserve">Anthony Battrick </t>
  </si>
  <si>
    <t>619-213-2334</t>
  </si>
  <si>
    <t>480 US Highway 287, Lafayette, CO, 80025</t>
  </si>
  <si>
    <t>720-666-6589</t>
  </si>
  <si>
    <t>Littleton</t>
  </si>
  <si>
    <t>Opened 1.28.26 Sarah Fox starts 3.16.26</t>
  </si>
  <si>
    <t>210-741-0960</t>
  </si>
  <si>
    <t xml:space="preserve">Daniel Hendel </t>
  </si>
  <si>
    <t xml:space="preserve">Maura Campbell </t>
  </si>
  <si>
    <t>Rick Allman</t>
  </si>
  <si>
    <t>Opened 2.2.26 Shawn Glade starts 3.2.26</t>
  </si>
  <si>
    <t>Abygayly Chavez</t>
  </si>
  <si>
    <t xml:space="preserve">Seo Hughes </t>
  </si>
  <si>
    <t>720-357-9870</t>
  </si>
  <si>
    <t>8055 West Bowles Ave, #2R, Littleton, CO 80123</t>
  </si>
  <si>
    <t>720-981-8272</t>
  </si>
  <si>
    <t>Aurora Quincy (A1)</t>
  </si>
  <si>
    <t>Ethan Blane</t>
  </si>
  <si>
    <t>216-570-2464</t>
  </si>
  <si>
    <t xml:space="preserve">Chris Brandt </t>
  </si>
  <si>
    <t>Jeannette Cabrera</t>
  </si>
  <si>
    <t>Opened 1.5.26 Mady Kendrick starts 3.17.26</t>
  </si>
  <si>
    <t xml:space="preserve">Laila Buxton </t>
  </si>
  <si>
    <t xml:space="preserve">Berenise Vargas </t>
  </si>
  <si>
    <t xml:space="preserve">Jamie Garcia </t>
  </si>
  <si>
    <t>970-393-3359</t>
  </si>
  <si>
    <t>16921 E Quincy Ave, Aurora, CO 80015</t>
  </si>
  <si>
    <t>303-366-8272</t>
  </si>
  <si>
    <t>Aurora Colfax (A2)</t>
  </si>
  <si>
    <t>Beth Ann Faaist</t>
  </si>
  <si>
    <t>770-547-0820</t>
  </si>
  <si>
    <t>Joe Cassella</t>
  </si>
  <si>
    <t>Tina Garcia</t>
  </si>
  <si>
    <t xml:space="preserve">Chelsie McCoy </t>
  </si>
  <si>
    <t>Opened 11.11.25 Bella Bartel starts 3.3.26</t>
  </si>
  <si>
    <t>Karina Rodriguez</t>
  </si>
  <si>
    <t>Ryan Davis starts 2.25.26</t>
  </si>
  <si>
    <t xml:space="preserve"> 720-272-8638</t>
  </si>
  <si>
    <t>15200 E Colfax Ave, Aurora, CO 80011</t>
  </si>
  <si>
    <t>719-294-6630</t>
  </si>
  <si>
    <t>Aurora Havana</t>
  </si>
  <si>
    <t>Stephen Fitzpatrick-Clements</t>
  </si>
  <si>
    <t>720-251-9558</t>
  </si>
  <si>
    <t xml:space="preserve">Andy Rivera Varela </t>
  </si>
  <si>
    <t>Fabricia Candida Pereira</t>
  </si>
  <si>
    <t xml:space="preserve">Lauren Mcgarry </t>
  </si>
  <si>
    <t xml:space="preserve">Landyn Garcia </t>
  </si>
  <si>
    <t xml:space="preserve">Seva Lords </t>
  </si>
  <si>
    <t>Tim Behrens</t>
  </si>
  <si>
    <t>720-793-4096</t>
  </si>
  <si>
    <t>1200 South Ironton Street, Aurora, CO 80012</t>
  </si>
  <si>
    <t>720-506-3644</t>
  </si>
  <si>
    <t>Denver Jewell (DJS)</t>
  </si>
  <si>
    <t>Opened 12.12.25</t>
  </si>
  <si>
    <t xml:space="preserve">Freddie Gutierrez </t>
  </si>
  <si>
    <t xml:space="preserve">David Karpas </t>
  </si>
  <si>
    <t xml:space="preserve">Nichole Portales </t>
  </si>
  <si>
    <t>Lex Watson</t>
  </si>
  <si>
    <t xml:space="preserve">Promise Butler </t>
  </si>
  <si>
    <t>Roxanna Martinez Keating starts 10.25.24</t>
  </si>
  <si>
    <t>Paul Aguilar/ Jacob Norris</t>
  </si>
  <si>
    <t>720-249-7267/ 256-626-1453</t>
  </si>
  <si>
    <t>1955 S Sheridan Blvd, Denver, CO 80227</t>
  </si>
  <si>
    <t>303-985-8272</t>
  </si>
  <si>
    <t xml:space="preserve">COS1 Cheyenne </t>
  </si>
  <si>
    <t>Samantha Pare</t>
  </si>
  <si>
    <t>315-254-5367</t>
  </si>
  <si>
    <t xml:space="preserve">Aiden Wisdom </t>
  </si>
  <si>
    <t xml:space="preserve">Mary Smith </t>
  </si>
  <si>
    <t>Danielle Mounts</t>
  </si>
  <si>
    <t xml:space="preserve">Breanna White </t>
  </si>
  <si>
    <t xml:space="preserve"> Jeremy Chavez </t>
  </si>
  <si>
    <t xml:space="preserve"> 719-651-3109</t>
  </si>
  <si>
    <t>455 E Cheyenne Mountain Blvd, Colorado Springs 80906</t>
  </si>
  <si>
    <t>719-630-8272</t>
  </si>
  <si>
    <t>COS2 Nevada Ave</t>
  </si>
  <si>
    <t xml:space="preserve">Dean Halvorson </t>
  </si>
  <si>
    <t>970-576-8213</t>
  </si>
  <si>
    <t>Opened 1.13.26 Savannah Yankee starts 3.9.26</t>
  </si>
  <si>
    <t xml:space="preserve">Jared Wrona </t>
  </si>
  <si>
    <t xml:space="preserve">Roxanne Combs </t>
  </si>
  <si>
    <t>Melissa Morales</t>
  </si>
  <si>
    <t>Craig Soulka</t>
  </si>
  <si>
    <t xml:space="preserve">Natalia Blasini-Perez </t>
  </si>
  <si>
    <t>Joseph Thompson + 1</t>
  </si>
  <si>
    <t>719-675-9997</t>
  </si>
  <si>
    <t>3020 N Nevada Ave, Colorado Springs, CO 80907</t>
  </si>
  <si>
    <t>719-302-2273</t>
  </si>
  <si>
    <t>COS3 North Powers</t>
  </si>
  <si>
    <t>Greg Aubuchon</t>
  </si>
  <si>
    <t>832-893-9765</t>
  </si>
  <si>
    <t xml:space="preserve">Leah Kegle </t>
  </si>
  <si>
    <t xml:space="preserve">Tyler Manus </t>
  </si>
  <si>
    <t xml:space="preserve">Melissa Whiseant </t>
  </si>
  <si>
    <t xml:space="preserve">Amanda Sheble </t>
  </si>
  <si>
    <t>Caleb Barnes</t>
  </si>
  <si>
    <t>Audriana Gutierrez</t>
  </si>
  <si>
    <t xml:space="preserve">Dyllan Lesondak </t>
  </si>
  <si>
    <t xml:space="preserve"> 719-678-2087</t>
  </si>
  <si>
    <t>5885 Palmer Park Blvd, Colorado Springs, CO 80915</t>
  </si>
  <si>
    <t>719-988-7095</t>
  </si>
  <si>
    <t>COS4 Union</t>
  </si>
  <si>
    <t>Allyson Hernandez</t>
  </si>
  <si>
    <t>928-542-9940</t>
  </si>
  <si>
    <t>Bailey Williams</t>
  </si>
  <si>
    <t xml:space="preserve">Elaine Baca </t>
  </si>
  <si>
    <t xml:space="preserve">Abby Swayne </t>
  </si>
  <si>
    <t>Kaleel Pernsley</t>
  </si>
  <si>
    <t xml:space="preserve">Juanna Wittenbach </t>
  </si>
  <si>
    <t xml:space="preserve">Robert Woerner </t>
  </si>
  <si>
    <t>719-394-5596</t>
  </si>
  <si>
    <t>7655 North Union Blvd, Colorado Springs, CO 80920</t>
  </si>
  <si>
    <t>719-302-5540</t>
  </si>
  <si>
    <t>Centennial Willow Creek</t>
  </si>
  <si>
    <t>Riley Stricherz</t>
  </si>
  <si>
    <t>970-415-0425</t>
  </si>
  <si>
    <t xml:space="preserve">Vaughn Fines </t>
  </si>
  <si>
    <t xml:space="preserve">Melissa Christopher </t>
  </si>
  <si>
    <t xml:space="preserve">MJ Oconnor </t>
  </si>
  <si>
    <t xml:space="preserve">Ty Hickey </t>
  </si>
  <si>
    <t>Tatiana Johnston</t>
  </si>
  <si>
    <t>Tristen Eden</t>
  </si>
  <si>
    <t>256-300-8999</t>
  </si>
  <si>
    <t>8200 S Quebec St, Centennial, CO 80112</t>
  </si>
  <si>
    <t>303-790-8272</t>
  </si>
  <si>
    <t>Smoky Hill Centennial</t>
  </si>
  <si>
    <t xml:space="preserve">Lindsay Hyde </t>
  </si>
  <si>
    <t>303-601-0115</t>
  </si>
  <si>
    <t xml:space="preserve">Xitlaly Avitia-Valdez </t>
  </si>
  <si>
    <t xml:space="preserve">Melanie Darling </t>
  </si>
  <si>
    <t xml:space="preserve">Heather Timmons </t>
  </si>
  <si>
    <t>Opened 2.3.26 Nicolle Hunt covering until filled</t>
  </si>
  <si>
    <t xml:space="preserve">Sofia Carrillo </t>
  </si>
  <si>
    <t xml:space="preserve">Jacob Dreiling </t>
  </si>
  <si>
    <t>303-912-6577</t>
  </si>
  <si>
    <t>20153 E Smoky Hill Rd, Centennial, CO 80015</t>
  </si>
  <si>
    <t>303-317-5579</t>
  </si>
  <si>
    <t>Tulsa</t>
  </si>
  <si>
    <t>Opened 2.2.26</t>
  </si>
  <si>
    <t>Matthew Rusk</t>
  </si>
  <si>
    <t xml:space="preserve">Rachel Bell </t>
  </si>
  <si>
    <t xml:space="preserve">Allison Alisauskas </t>
  </si>
  <si>
    <t>Madelynn Snedden</t>
  </si>
  <si>
    <t xml:space="preserve">Taimie Rodriguez </t>
  </si>
  <si>
    <t>Opened 2.16.26 Jeremy Dodson last day 3.2.26</t>
  </si>
  <si>
    <t>918-859-4221</t>
  </si>
  <si>
    <t>7990 E 51st Street, Tulsa, OK 74145</t>
  </si>
  <si>
    <t>918-984-1044</t>
  </si>
  <si>
    <t>OKC Penn</t>
  </si>
  <si>
    <t xml:space="preserve">Desiree Wright </t>
  </si>
  <si>
    <t>405-697-8472</t>
  </si>
  <si>
    <t>Brandon Looper</t>
  </si>
  <si>
    <t xml:space="preserve">Sarah Shuck </t>
  </si>
  <si>
    <t xml:space="preserve">Karis Taylor </t>
  </si>
  <si>
    <t xml:space="preserve">Julie Hobbs </t>
  </si>
  <si>
    <t>Jesilee Riley</t>
  </si>
  <si>
    <t>Jacob Dart</t>
  </si>
  <si>
    <t>405-760-8489</t>
  </si>
  <si>
    <t>2500 N Pennsylvania Ave, Oklahoma City, OK 73107</t>
  </si>
  <si>
    <t>405-992-0670</t>
  </si>
  <si>
    <t>OKC Western</t>
  </si>
  <si>
    <t xml:space="preserve">Mary Giblin </t>
  </si>
  <si>
    <t>405-201-7764</t>
  </si>
  <si>
    <t>Alexander Hurst</t>
  </si>
  <si>
    <t>Alyssa Hankins</t>
  </si>
  <si>
    <t xml:space="preserve">Brandon Tims </t>
  </si>
  <si>
    <t>Jessica Pallares</t>
  </si>
  <si>
    <t xml:space="preserve">Joshua Murphy </t>
  </si>
  <si>
    <t>405-570-4982</t>
  </si>
  <si>
    <t>4106 S Western Ave, Oklahoma City, OK 73109</t>
  </si>
  <si>
    <t>405-992-0210</t>
  </si>
  <si>
    <t>Omaha</t>
  </si>
  <si>
    <t xml:space="preserve">Chessa Vitamvas </t>
  </si>
  <si>
    <t>719-271-1485</t>
  </si>
  <si>
    <t xml:space="preserve">Andrew Henderson </t>
  </si>
  <si>
    <t>Tracy Krelle</t>
  </si>
  <si>
    <t xml:space="preserve">Megan Wilde </t>
  </si>
  <si>
    <t xml:space="preserve">Hampton Kaye-Kuter </t>
  </si>
  <si>
    <t xml:space="preserve">Tanner Russell </t>
  </si>
  <si>
    <t>Kyle Summerlin</t>
  </si>
  <si>
    <t>402-405-7146</t>
  </si>
  <si>
    <t>14445 W Center Rd, Omaha, NE 68144</t>
  </si>
  <si>
    <t>402-534-1193</t>
  </si>
  <si>
    <t>Lincoln</t>
  </si>
  <si>
    <t xml:space="preserve">Opened 1.22.26 </t>
  </si>
  <si>
    <t>Madeline Easter</t>
  </si>
  <si>
    <t xml:space="preserve">Megan Nicholson </t>
  </si>
  <si>
    <t>June Jones</t>
  </si>
  <si>
    <t xml:space="preserve"> Abby Hochstein </t>
  </si>
  <si>
    <t>Hayley Murphy</t>
  </si>
  <si>
    <t>Jeremy Webb</t>
  </si>
  <si>
    <t>281-650-7090</t>
  </si>
  <si>
    <t>4615 Vine Street, Lincoln, NE 68503</t>
  </si>
  <si>
    <t>402-262-6328</t>
  </si>
  <si>
    <t>Bellevue</t>
  </si>
  <si>
    <t>Taylor Wageman</t>
  </si>
  <si>
    <t>402-510-7646</t>
  </si>
  <si>
    <t xml:space="preserve">Ryan Patterson </t>
  </si>
  <si>
    <t>Yolanda Smalls</t>
  </si>
  <si>
    <t>Roni Harless</t>
  </si>
  <si>
    <t>Kayla Horan</t>
  </si>
  <si>
    <t>CJ Ginther</t>
  </si>
  <si>
    <t xml:space="preserve">Joe Tyler </t>
  </si>
  <si>
    <t>402-906-6870</t>
  </si>
  <si>
    <t>909 Fort Crook Road, Bellevue, NE, 68005</t>
  </si>
  <si>
    <t>402-370-5762</t>
  </si>
  <si>
    <t>022</t>
  </si>
  <si>
    <t>030</t>
  </si>
  <si>
    <t>029</t>
  </si>
  <si>
    <t>059</t>
  </si>
  <si>
    <t>064</t>
  </si>
  <si>
    <t>078</t>
  </si>
  <si>
    <t>073</t>
  </si>
  <si>
    <t>033</t>
  </si>
  <si>
    <t>023</t>
  </si>
  <si>
    <t>040</t>
  </si>
  <si>
    <t>082</t>
  </si>
  <si>
    <t>026</t>
  </si>
  <si>
    <t>028</t>
  </si>
  <si>
    <t>041</t>
  </si>
  <si>
    <t>070</t>
  </si>
  <si>
    <t>075</t>
  </si>
  <si>
    <t>025</t>
  </si>
  <si>
    <t>061</t>
  </si>
  <si>
    <t>032</t>
  </si>
  <si>
    <t>045</t>
  </si>
  <si>
    <t>034</t>
  </si>
  <si>
    <t>065</t>
  </si>
  <si>
    <t>068</t>
  </si>
  <si>
    <t>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</si>
</sst>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indexed="9"/>
      <name val="Arial"/>
      <family val="2"/>
    </font>
    <font>
      <b/>
      <sz val="11"/>
      <color rgb="FFFF0000"/>
      <name val="Arial"/>
      <family val="2"/>
    </font>
    <font>
      <b/>
      <sz val="11"/>
      <color rgb="FFFF0066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242424"/>
      <name val="Aptos Narrow"/>
      <family val="2"/>
      <scheme val="minor"/>
    </font>
    <font>
      <sz val="11"/>
      <color theme="1"/>
      <name val="Calibri"/>
      <family val="2"/>
    </font>
    <font>
      <sz val="11"/>
      <color rgb="FF26232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FF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/>
      <right/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/>
      <top style="medium">
        <color indexed="64"/>
      </top>
      <bottom style="thin">
        <color theme="0" tint="-0.1499984740745262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/>
      <top/>
      <bottom style="medium">
        <color indexed="64"/>
      </bottom>
      <diagonal/>
    </border>
    <border>
      <left/>
      <right style="thin">
        <color theme="0" tint="-0.249977111117893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medium">
        <color indexed="64"/>
      </top>
      <bottom/>
      <diagonal/>
    </border>
    <border>
      <left/>
      <right style="thin">
        <color theme="0" tint="-0.14999847407452621"/>
      </right>
      <top style="medium">
        <color indexed="64"/>
      </top>
      <bottom style="thin">
        <color theme="2"/>
      </bottom>
      <diagonal/>
    </border>
    <border>
      <left style="thin">
        <color theme="0" tint="-0.14999847407452621"/>
      </left>
      <right style="thin">
        <color theme="0" tint="-0.249977111117893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1499984740745262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14999847407452621"/>
      </right>
      <top/>
      <bottom/>
      <diagonal/>
    </border>
    <border>
      <left/>
      <right/>
      <top style="thin">
        <color theme="2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/>
      <top/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medium">
        <color indexed="64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1499984740745262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2"/>
      </right>
      <top/>
      <bottom style="thin">
        <color theme="0" tint="-0.14999847407452621"/>
      </bottom>
      <diagonal/>
    </border>
    <border>
      <left/>
      <right style="thin">
        <color theme="2"/>
      </right>
      <top/>
      <bottom style="thin">
        <color theme="0" tint="-0.14999847407452621"/>
      </bottom>
      <diagonal/>
    </border>
    <border>
      <left style="thin">
        <color theme="2"/>
      </left>
      <right style="thin">
        <color theme="2"/>
      </right>
      <top/>
      <bottom style="thin">
        <color theme="0" tint="-0.14999847407452621"/>
      </bottom>
      <diagonal/>
    </border>
    <border>
      <left style="thin">
        <color theme="2"/>
      </left>
      <right/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4.9989318521683403E-2"/>
      </right>
      <top/>
      <bottom style="thin">
        <color theme="0" tint="-0.14999847407452621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82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center" shrinkToFit="1"/>
    </xf>
    <xf numFmtId="0" fontId="5" fillId="2" borderId="1" xfId="0" applyFont="1" applyFill="1" applyBorder="1" applyAlignment="1">
      <alignment horizontal="center"/>
    </xf>
    <xf numFmtId="49" fontId="7" fillId="0" borderId="0" xfId="1" applyNumberFormat="1" applyFont="1" applyAlignment="1" applyProtection="1">
      <alignment horizontal="left"/>
      <protection locked="0"/>
    </xf>
    <xf numFmtId="0" fontId="7" fillId="0" borderId="0" xfId="0" applyFont="1"/>
    <xf numFmtId="0" fontId="7" fillId="0" borderId="2" xfId="0" applyFont="1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3" fontId="1" fillId="0" borderId="4" xfId="1" applyNumberFormat="1" applyFont="1" applyBorder="1" applyAlignment="1">
      <alignment horizontal="center"/>
    </xf>
    <xf numFmtId="0" fontId="0" fillId="0" borderId="8" xfId="0" applyBorder="1"/>
    <xf numFmtId="0" fontId="0" fillId="0" borderId="3" xfId="0" applyBorder="1" applyAlignment="1">
      <alignment horizontal="center"/>
    </xf>
    <xf numFmtId="0" fontId="0" fillId="4" borderId="8" xfId="0" applyFill="1" applyBorder="1"/>
    <xf numFmtId="0" fontId="0" fillId="4" borderId="3" xfId="0" applyFill="1" applyBorder="1" applyAlignment="1">
      <alignment horizontal="center"/>
    </xf>
    <xf numFmtId="0" fontId="1" fillId="0" borderId="9" xfId="0" applyFont="1" applyBorder="1"/>
    <xf numFmtId="0" fontId="1" fillId="0" borderId="5" xfId="2" applyFont="1" applyBorder="1" applyAlignment="1" applyProtection="1">
      <alignment horizontal="center"/>
      <protection locked="0"/>
    </xf>
    <xf numFmtId="0" fontId="1" fillId="0" borderId="0" xfId="2" applyFont="1" applyAlignment="1" applyProtection="1">
      <alignment horizontal="center"/>
      <protection locked="0"/>
    </xf>
    <xf numFmtId="49" fontId="7" fillId="0" borderId="0" xfId="1" applyNumberFormat="1" applyFont="1" applyAlignment="1">
      <alignment horizontal="left"/>
    </xf>
    <xf numFmtId="0" fontId="8" fillId="0" borderId="0" xfId="0" applyFont="1"/>
    <xf numFmtId="0" fontId="7" fillId="0" borderId="10" xfId="0" applyFont="1" applyBorder="1" applyAlignment="1">
      <alignment horizontal="left"/>
    </xf>
    <xf numFmtId="0" fontId="8" fillId="0" borderId="6" xfId="0" applyFont="1" applyBorder="1"/>
    <xf numFmtId="0" fontId="7" fillId="0" borderId="10" xfId="0" applyFont="1" applyBorder="1" applyAlignment="1">
      <alignment horizontal="center"/>
    </xf>
    <xf numFmtId="0" fontId="8" fillId="0" borderId="11" xfId="0" applyFont="1" applyBorder="1"/>
    <xf numFmtId="0" fontId="8" fillId="3" borderId="11" xfId="0" applyFont="1" applyFill="1" applyBorder="1"/>
    <xf numFmtId="0" fontId="8" fillId="3" borderId="12" xfId="0" applyFont="1" applyFill="1" applyBorder="1"/>
    <xf numFmtId="0" fontId="7" fillId="0" borderId="6" xfId="2" applyFont="1" applyBorder="1" applyAlignment="1" applyProtection="1">
      <alignment horizontal="left"/>
      <protection locked="0"/>
    </xf>
    <xf numFmtId="0" fontId="7" fillId="0" borderId="10" xfId="2" applyFont="1" applyBorder="1" applyAlignment="1" applyProtection="1">
      <alignment horizontal="center"/>
      <protection locked="0"/>
    </xf>
    <xf numFmtId="0" fontId="7" fillId="0" borderId="13" xfId="2" applyFont="1" applyBorder="1" applyAlignment="1" applyProtection="1">
      <alignment horizontal="center"/>
      <protection locked="0"/>
    </xf>
    <xf numFmtId="0" fontId="7" fillId="3" borderId="9" xfId="2" applyFont="1" applyFill="1" applyBorder="1" applyAlignment="1" applyProtection="1">
      <alignment horizontal="left"/>
      <protection locked="0"/>
    </xf>
    <xf numFmtId="0" fontId="7" fillId="3" borderId="8" xfId="2" applyFont="1" applyFill="1" applyBorder="1" applyAlignment="1" applyProtection="1">
      <alignment horizontal="center"/>
      <protection locked="0"/>
    </xf>
    <xf numFmtId="0" fontId="7" fillId="0" borderId="6" xfId="2" applyFont="1" applyBorder="1" applyAlignment="1" applyProtection="1">
      <alignment horizontal="center"/>
      <protection locked="0"/>
    </xf>
    <xf numFmtId="0" fontId="1" fillId="0" borderId="4" xfId="2" applyFont="1" applyBorder="1" applyAlignment="1" applyProtection="1">
      <alignment horizontal="left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8" fillId="4" borderId="8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49" fontId="0" fillId="0" borderId="0" xfId="0" applyNumberFormat="1"/>
    <xf numFmtId="0" fontId="7" fillId="3" borderId="2" xfId="2" applyFont="1" applyFill="1" applyBorder="1" applyAlignment="1" applyProtection="1">
      <alignment horizontal="left"/>
      <protection locked="0"/>
    </xf>
    <xf numFmtId="0" fontId="7" fillId="3" borderId="0" xfId="2" applyFont="1" applyFill="1" applyAlignment="1" applyProtection="1">
      <alignment horizontal="center"/>
      <protection locked="0"/>
    </xf>
    <xf numFmtId="0" fontId="7" fillId="0" borderId="0" xfId="2" applyFont="1" applyAlignment="1" applyProtection="1">
      <alignment horizontal="center"/>
      <protection locked="0"/>
    </xf>
    <xf numFmtId="0" fontId="0" fillId="3" borderId="0" xfId="0" applyFill="1"/>
    <xf numFmtId="0" fontId="0" fillId="3" borderId="10" xfId="0" applyFill="1" applyBorder="1"/>
    <xf numFmtId="0" fontId="1" fillId="4" borderId="4" xfId="2" applyFont="1" applyFill="1" applyBorder="1" applyAlignment="1" applyProtection="1">
      <alignment horizontal="left"/>
      <protection locked="0"/>
    </xf>
    <xf numFmtId="0" fontId="1" fillId="4" borderId="4" xfId="2" applyFont="1" applyFill="1" applyBorder="1" applyAlignment="1" applyProtection="1">
      <alignment horizontal="center"/>
      <protection locked="0"/>
    </xf>
    <xf numFmtId="0" fontId="8" fillId="4" borderId="14" xfId="0" applyFont="1" applyFill="1" applyBorder="1" applyAlignment="1">
      <alignment horizontal="left"/>
    </xf>
    <xf numFmtId="49" fontId="7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7" xfId="0" applyBorder="1" applyAlignment="1">
      <alignment horizontal="center"/>
    </xf>
    <xf numFmtId="0" fontId="0" fillId="3" borderId="9" xfId="0" applyFill="1" applyBorder="1"/>
    <xf numFmtId="0" fontId="0" fillId="3" borderId="8" xfId="0" applyFill="1" applyBorder="1"/>
    <xf numFmtId="0" fontId="0" fillId="0" borderId="0" xfId="0" applyAlignment="1">
      <alignment horizontal="center"/>
    </xf>
    <xf numFmtId="0" fontId="0" fillId="3" borderId="2" xfId="0" applyFill="1" applyBorder="1"/>
    <xf numFmtId="0" fontId="0" fillId="3" borderId="15" xfId="0" applyFill="1" applyBorder="1" applyAlignment="1">
      <alignment horizontal="center"/>
    </xf>
    <xf numFmtId="0" fontId="0" fillId="0" borderId="6" xfId="0" applyBorder="1"/>
    <xf numFmtId="0" fontId="0" fillId="0" borderId="11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6" xfId="2" applyFont="1" applyBorder="1" applyAlignment="1" applyProtection="1">
      <alignment horizontal="left"/>
      <protection locked="0"/>
    </xf>
    <xf numFmtId="0" fontId="1" fillId="0" borderId="10" xfId="2" applyFont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8" fillId="0" borderId="16" xfId="0" applyFont="1" applyBorder="1"/>
    <xf numFmtId="0" fontId="7" fillId="0" borderId="17" xfId="0" applyFont="1" applyBorder="1" applyAlignment="1">
      <alignment horizontal="left"/>
    </xf>
    <xf numFmtId="0" fontId="10" fillId="0" borderId="1" xfId="0" applyFont="1" applyBorder="1"/>
    <xf numFmtId="0" fontId="0" fillId="0" borderId="18" xfId="0" applyBorder="1" applyAlignment="1">
      <alignment horizontal="center"/>
    </xf>
    <xf numFmtId="0" fontId="0" fillId="0" borderId="1" xfId="0" applyBorder="1"/>
    <xf numFmtId="0" fontId="0" fillId="3" borderId="18" xfId="0" applyFill="1" applyBorder="1"/>
    <xf numFmtId="0" fontId="0" fillId="3" borderId="16" xfId="0" applyFill="1" applyBorder="1"/>
    <xf numFmtId="0" fontId="0" fillId="0" borderId="19" xfId="0" applyBorder="1"/>
    <xf numFmtId="0" fontId="1" fillId="0" borderId="1" xfId="2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0" borderId="16" xfId="0" applyBorder="1"/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" xfId="2" applyFont="1" applyBorder="1" applyAlignment="1" applyProtection="1">
      <alignment horizontal="left"/>
      <protection locked="0"/>
    </xf>
    <xf numFmtId="0" fontId="1" fillId="0" borderId="17" xfId="2" applyFont="1" applyBorder="1" applyAlignment="1" applyProtection="1">
      <alignment horizontal="center"/>
      <protection locked="0"/>
    </xf>
    <xf numFmtId="0" fontId="1" fillId="0" borderId="16" xfId="2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left"/>
    </xf>
    <xf numFmtId="0" fontId="7" fillId="0" borderId="0" xfId="0" applyFont="1" applyAlignment="1">
      <alignment horizontal="left"/>
    </xf>
    <xf numFmtId="0" fontId="10" fillId="5" borderId="0" xfId="0" applyFont="1" applyFill="1"/>
    <xf numFmtId="0" fontId="0" fillId="5" borderId="0" xfId="0" applyFill="1" applyAlignment="1">
      <alignment horizontal="center"/>
    </xf>
    <xf numFmtId="0" fontId="0" fillId="3" borderId="21" xfId="0" applyFill="1" applyBorder="1"/>
    <xf numFmtId="0" fontId="0" fillId="3" borderId="22" xfId="0" applyFill="1" applyBorder="1"/>
    <xf numFmtId="0" fontId="0" fillId="6" borderId="0" xfId="0" applyFill="1"/>
    <xf numFmtId="0" fontId="1" fillId="6" borderId="0" xfId="2" applyFont="1" applyFill="1" applyAlignment="1" applyProtection="1">
      <alignment horizontal="center"/>
      <protection locked="0"/>
    </xf>
    <xf numFmtId="0" fontId="1" fillId="0" borderId="0" xfId="2" applyFont="1" applyAlignment="1" applyProtection="1">
      <alignment horizontal="left"/>
      <protection locked="0"/>
    </xf>
    <xf numFmtId="0" fontId="1" fillId="0" borderId="23" xfId="2" applyFont="1" applyBorder="1" applyAlignment="1" applyProtection="1">
      <alignment horizontal="center"/>
      <protection locked="0"/>
    </xf>
    <xf numFmtId="0" fontId="0" fillId="0" borderId="4" xfId="0" applyBorder="1"/>
    <xf numFmtId="0" fontId="0" fillId="3" borderId="4" xfId="0" applyFill="1" applyBorder="1"/>
    <xf numFmtId="0" fontId="0" fillId="0" borderId="24" xfId="0" applyBorder="1"/>
    <xf numFmtId="0" fontId="1" fillId="0" borderId="2" xfId="2" applyFont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5" xfId="2" applyFont="1" applyBorder="1" applyAlignment="1" applyProtection="1">
      <alignment horizontal="left"/>
      <protection locked="0"/>
    </xf>
    <xf numFmtId="0" fontId="1" fillId="0" borderId="24" xfId="2" applyFont="1" applyBorder="1" applyAlignment="1" applyProtection="1">
      <alignment horizontal="center"/>
      <protection locked="0"/>
    </xf>
    <xf numFmtId="0" fontId="0" fillId="0" borderId="25" xfId="0" applyBorder="1"/>
    <xf numFmtId="0" fontId="8" fillId="0" borderId="3" xfId="0" applyFont="1" applyBorder="1"/>
    <xf numFmtId="0" fontId="7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2" applyFont="1" applyBorder="1" applyAlignment="1" applyProtection="1">
      <alignment horizontal="center"/>
      <protection locked="0"/>
    </xf>
    <xf numFmtId="0" fontId="0" fillId="0" borderId="2" xfId="0" applyBorder="1"/>
    <xf numFmtId="0" fontId="0" fillId="0" borderId="8" xfId="0" applyBorder="1" applyAlignment="1">
      <alignment horizontal="center"/>
    </xf>
    <xf numFmtId="0" fontId="1" fillId="0" borderId="6" xfId="2" applyFont="1" applyBorder="1" applyAlignment="1" applyProtection="1">
      <alignment horizontal="center"/>
      <protection locked="0"/>
    </xf>
    <xf numFmtId="0" fontId="8" fillId="3" borderId="9" xfId="0" applyFont="1" applyFill="1" applyBorder="1"/>
    <xf numFmtId="0" fontId="8" fillId="3" borderId="8" xfId="0" applyFont="1" applyFill="1" applyBorder="1"/>
    <xf numFmtId="0" fontId="8" fillId="4" borderId="13" xfId="0" applyFont="1" applyFill="1" applyBorder="1" applyAlignment="1">
      <alignment horizontal="left"/>
    </xf>
    <xf numFmtId="0" fontId="8" fillId="0" borderId="18" xfId="0" applyFont="1" applyBorder="1"/>
    <xf numFmtId="0" fontId="7" fillId="0" borderId="26" xfId="0" applyFont="1" applyBorder="1" applyAlignment="1">
      <alignment horizontal="center"/>
    </xf>
    <xf numFmtId="0" fontId="8" fillId="0" borderId="26" xfId="0" applyFont="1" applyBorder="1"/>
    <xf numFmtId="0" fontId="7" fillId="0" borderId="12" xfId="2" applyFont="1" applyBorder="1" applyAlignment="1" applyProtection="1">
      <alignment horizontal="left"/>
      <protection locked="0"/>
    </xf>
    <xf numFmtId="0" fontId="7" fillId="0" borderId="26" xfId="2" applyFont="1" applyBorder="1" applyAlignment="1" applyProtection="1">
      <alignment horizontal="center"/>
      <protection locked="0"/>
    </xf>
    <xf numFmtId="0" fontId="7" fillId="0" borderId="26" xfId="2" applyFont="1" applyBorder="1" applyAlignment="1" applyProtection="1">
      <alignment horizontal="left"/>
      <protection locked="0"/>
    </xf>
    <xf numFmtId="0" fontId="7" fillId="0" borderId="17" xfId="2" applyFont="1" applyBorder="1" applyAlignment="1" applyProtection="1">
      <alignment horizontal="center"/>
      <protection locked="0"/>
    </xf>
    <xf numFmtId="0" fontId="7" fillId="3" borderId="26" xfId="2" applyFont="1" applyFill="1" applyBorder="1" applyAlignment="1" applyProtection="1">
      <alignment horizontal="left"/>
      <protection locked="0"/>
    </xf>
    <xf numFmtId="0" fontId="7" fillId="3" borderId="17" xfId="2" applyFont="1" applyFill="1" applyBorder="1" applyAlignment="1" applyProtection="1">
      <alignment horizontal="center"/>
      <protection locked="0"/>
    </xf>
    <xf numFmtId="0" fontId="7" fillId="0" borderId="20" xfId="2" applyFont="1" applyBorder="1" applyAlignment="1" applyProtection="1">
      <alignment horizontal="center"/>
      <protection locked="0"/>
    </xf>
    <xf numFmtId="0" fontId="8" fillId="4" borderId="26" xfId="0" applyFont="1" applyFill="1" applyBorder="1" applyAlignment="1">
      <alignment horizontal="left"/>
    </xf>
    <xf numFmtId="0" fontId="8" fillId="3" borderId="27" xfId="0" applyFont="1" applyFill="1" applyBorder="1"/>
    <xf numFmtId="0" fontId="7" fillId="0" borderId="21" xfId="2" applyFont="1" applyBorder="1" applyAlignment="1" applyProtection="1">
      <alignment horizontal="left"/>
      <protection locked="0"/>
    </xf>
    <xf numFmtId="0" fontId="7" fillId="3" borderId="28" xfId="2" applyFont="1" applyFill="1" applyBorder="1" applyAlignment="1" applyProtection="1">
      <alignment horizontal="left"/>
      <protection locked="0"/>
    </xf>
    <xf numFmtId="0" fontId="7" fillId="3" borderId="28" xfId="2" applyFont="1" applyFill="1" applyBorder="1" applyAlignment="1" applyProtection="1">
      <alignment horizontal="center"/>
      <protection locked="0"/>
    </xf>
    <xf numFmtId="0" fontId="0" fillId="3" borderId="28" xfId="0" applyFill="1" applyBorder="1"/>
    <xf numFmtId="0" fontId="1" fillId="0" borderId="28" xfId="2" applyFont="1" applyBorder="1" applyAlignment="1" applyProtection="1">
      <alignment horizontal="left"/>
      <protection locked="0"/>
    </xf>
    <xf numFmtId="0" fontId="1" fillId="0" borderId="28" xfId="2" applyFont="1" applyBorder="1" applyAlignment="1" applyProtection="1">
      <alignment horizontal="center"/>
      <protection locked="0"/>
    </xf>
    <xf numFmtId="0" fontId="1" fillId="0" borderId="27" xfId="2" applyFont="1" applyBorder="1" applyAlignment="1" applyProtection="1">
      <alignment horizontal="center"/>
      <protection locked="0"/>
    </xf>
    <xf numFmtId="0" fontId="8" fillId="4" borderId="22" xfId="0" applyFont="1" applyFill="1" applyBorder="1" applyAlignment="1">
      <alignment horizontal="left"/>
    </xf>
    <xf numFmtId="0" fontId="8" fillId="4" borderId="28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5" borderId="0" xfId="0" applyFill="1"/>
    <xf numFmtId="3" fontId="7" fillId="5" borderId="0" xfId="1" applyNumberFormat="1" applyFont="1" applyFill="1" applyAlignment="1">
      <alignment horizontal="center"/>
    </xf>
    <xf numFmtId="3" fontId="7" fillId="0" borderId="0" xfId="1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3" borderId="25" xfId="0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7" fillId="0" borderId="0" xfId="0" applyNumberFormat="1" applyFont="1"/>
    <xf numFmtId="0" fontId="7" fillId="0" borderId="6" xfId="0" applyFont="1" applyBorder="1"/>
    <xf numFmtId="0" fontId="7" fillId="3" borderId="2" xfId="0" applyFont="1" applyFill="1" applyBorder="1"/>
    <xf numFmtId="0" fontId="7" fillId="3" borderId="25" xfId="0" applyFont="1" applyFill="1" applyBorder="1"/>
    <xf numFmtId="0" fontId="7" fillId="6" borderId="29" xfId="0" applyFont="1" applyFill="1" applyBorder="1"/>
    <xf numFmtId="0" fontId="7" fillId="6" borderId="4" xfId="1" applyFont="1" applyFill="1" applyBorder="1" applyAlignment="1" applyProtection="1">
      <alignment horizontal="center"/>
      <protection locked="0"/>
    </xf>
    <xf numFmtId="0" fontId="7" fillId="0" borderId="4" xfId="0" applyFont="1" applyBorder="1"/>
    <xf numFmtId="0" fontId="7" fillId="0" borderId="2" xfId="0" applyFont="1" applyBorder="1" applyAlignment="1">
      <alignment horizontal="center"/>
    </xf>
    <xf numFmtId="0" fontId="7" fillId="3" borderId="4" xfId="0" applyFont="1" applyFill="1" applyBorder="1"/>
    <xf numFmtId="49" fontId="7" fillId="3" borderId="4" xfId="2" applyNumberFormat="1" applyFont="1" applyFill="1" applyBorder="1" applyAlignment="1" applyProtection="1">
      <alignment horizontal="center"/>
      <protection locked="0"/>
    </xf>
    <xf numFmtId="0" fontId="7" fillId="0" borderId="4" xfId="2" applyFont="1" applyBorder="1" applyAlignment="1" applyProtection="1">
      <alignment horizontal="center"/>
      <protection locked="0"/>
    </xf>
    <xf numFmtId="0" fontId="0" fillId="4" borderId="8" xfId="0" applyFill="1" applyBorder="1" applyAlignment="1">
      <alignment horizontal="center"/>
    </xf>
    <xf numFmtId="0" fontId="7" fillId="0" borderId="15" xfId="0" applyFont="1" applyBorder="1"/>
    <xf numFmtId="49" fontId="7" fillId="0" borderId="1" xfId="0" applyNumberFormat="1" applyFont="1" applyBorder="1"/>
    <xf numFmtId="0" fontId="7" fillId="0" borderId="30" xfId="0" applyFont="1" applyBorder="1"/>
    <xf numFmtId="0" fontId="7" fillId="0" borderId="26" xfId="0" applyFont="1" applyBorder="1" applyAlignment="1">
      <alignment horizontal="left"/>
    </xf>
    <xf numFmtId="0" fontId="7" fillId="0" borderId="16" xfId="0" applyFont="1" applyBorder="1"/>
    <xf numFmtId="0" fontId="7" fillId="0" borderId="17" xfId="0" applyFont="1" applyBorder="1" applyAlignment="1">
      <alignment horizontal="center"/>
    </xf>
    <xf numFmtId="0" fontId="7" fillId="3" borderId="26" xfId="0" applyFont="1" applyFill="1" applyBorder="1"/>
    <xf numFmtId="0" fontId="7" fillId="0" borderId="26" xfId="1" applyFont="1" applyBorder="1" applyAlignment="1" applyProtection="1">
      <alignment horizontal="center"/>
      <protection locked="0"/>
    </xf>
    <xf numFmtId="0" fontId="7" fillId="0" borderId="18" xfId="0" applyFont="1" applyBorder="1"/>
    <xf numFmtId="0" fontId="7" fillId="3" borderId="18" xfId="0" applyFont="1" applyFill="1" applyBorder="1"/>
    <xf numFmtId="0" fontId="7" fillId="3" borderId="26" xfId="2" applyFont="1" applyFill="1" applyBorder="1" applyAlignment="1" applyProtection="1">
      <alignment horizontal="center"/>
      <protection locked="0"/>
    </xf>
    <xf numFmtId="0" fontId="7" fillId="0" borderId="31" xfId="0" applyFont="1" applyBorder="1"/>
    <xf numFmtId="0" fontId="7" fillId="0" borderId="20" xfId="0" applyFont="1" applyBorder="1" applyAlignment="1">
      <alignment horizontal="center"/>
    </xf>
    <xf numFmtId="0" fontId="1" fillId="0" borderId="1" xfId="0" applyFont="1" applyBorder="1"/>
    <xf numFmtId="0" fontId="1" fillId="0" borderId="19" xfId="0" applyFont="1" applyBorder="1" applyAlignment="1">
      <alignment horizontal="center"/>
    </xf>
    <xf numFmtId="0" fontId="0" fillId="3" borderId="3" xfId="0" applyFill="1" applyBorder="1"/>
    <xf numFmtId="0" fontId="0" fillId="3" borderId="15" xfId="0" applyFill="1" applyBorder="1"/>
    <xf numFmtId="3" fontId="1" fillId="0" borderId="3" xfId="1" applyNumberFormat="1" applyFont="1" applyBorder="1" applyAlignment="1">
      <alignment horizontal="center"/>
    </xf>
    <xf numFmtId="0" fontId="7" fillId="3" borderId="8" xfId="0" applyFont="1" applyFill="1" applyBorder="1"/>
    <xf numFmtId="0" fontId="0" fillId="3" borderId="3" xfId="0" applyFill="1" applyBorder="1" applyAlignment="1">
      <alignment horizontal="center"/>
    </xf>
    <xf numFmtId="0" fontId="7" fillId="0" borderId="8" xfId="0" applyFont="1" applyBorder="1"/>
    <xf numFmtId="0" fontId="7" fillId="0" borderId="12" xfId="0" applyFont="1" applyBorder="1"/>
    <xf numFmtId="0" fontId="0" fillId="0" borderId="25" xfId="0" applyBorder="1" applyAlignment="1">
      <alignment horizontal="center"/>
    </xf>
    <xf numFmtId="0" fontId="7" fillId="0" borderId="25" xfId="0" applyFont="1" applyBorder="1"/>
    <xf numFmtId="0" fontId="1" fillId="0" borderId="8" xfId="0" applyFont="1" applyBorder="1"/>
    <xf numFmtId="0" fontId="0" fillId="6" borderId="4" xfId="0" applyFill="1" applyBorder="1"/>
    <xf numFmtId="3" fontId="1" fillId="6" borderId="6" xfId="1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7" fillId="0" borderId="7" xfId="0" applyFont="1" applyBorder="1"/>
    <xf numFmtId="0" fontId="0" fillId="0" borderId="12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6" borderId="15" xfId="0" applyFill="1" applyBorder="1"/>
    <xf numFmtId="3" fontId="1" fillId="6" borderId="8" xfId="1" applyNumberFormat="1" applyFont="1" applyFill="1" applyBorder="1" applyAlignment="1">
      <alignment horizontal="center"/>
    </xf>
    <xf numFmtId="3" fontId="1" fillId="0" borderId="7" xfId="1" applyNumberFormat="1" applyFont="1" applyBorder="1" applyAlignment="1">
      <alignment horizontal="center"/>
    </xf>
    <xf numFmtId="0" fontId="0" fillId="7" borderId="12" xfId="0" applyFill="1" applyBorder="1"/>
    <xf numFmtId="0" fontId="0" fillId="7" borderId="7" xfId="0" applyFill="1" applyBorder="1" applyAlignment="1">
      <alignment horizontal="center"/>
    </xf>
    <xf numFmtId="0" fontId="0" fillId="0" borderId="10" xfId="0" applyBorder="1"/>
    <xf numFmtId="0" fontId="0" fillId="6" borderId="12" xfId="0" applyFill="1" applyBorder="1"/>
    <xf numFmtId="0" fontId="0" fillId="6" borderId="12" xfId="0" applyFill="1" applyBorder="1" applyAlignment="1">
      <alignment horizontal="center"/>
    </xf>
    <xf numFmtId="0" fontId="0" fillId="4" borderId="3" xfId="0" applyFill="1" applyBorder="1"/>
    <xf numFmtId="3" fontId="1" fillId="4" borderId="6" xfId="1" applyNumberFormat="1" applyFont="1" applyFill="1" applyBorder="1" applyAlignment="1">
      <alignment horizontal="center"/>
    </xf>
    <xf numFmtId="0" fontId="0" fillId="0" borderId="12" xfId="0" applyBorder="1"/>
    <xf numFmtId="0" fontId="0" fillId="8" borderId="7" xfId="0" applyFill="1" applyBorder="1"/>
    <xf numFmtId="0" fontId="0" fillId="8" borderId="7" xfId="0" applyFill="1" applyBorder="1" applyAlignment="1">
      <alignment horizontal="center"/>
    </xf>
    <xf numFmtId="0" fontId="0" fillId="0" borderId="11" xfId="0" applyBorder="1"/>
    <xf numFmtId="49" fontId="7" fillId="0" borderId="25" xfId="0" applyNumberFormat="1" applyFont="1" applyBorder="1" applyAlignment="1">
      <alignment horizontal="left"/>
    </xf>
    <xf numFmtId="0" fontId="0" fillId="6" borderId="3" xfId="0" applyFill="1" applyBorder="1"/>
    <xf numFmtId="0" fontId="0" fillId="6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7" fillId="0" borderId="32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8" borderId="17" xfId="0" applyFont="1" applyFill="1" applyBorder="1" applyAlignment="1">
      <alignment vertical="center"/>
    </xf>
    <xf numFmtId="0" fontId="0" fillId="8" borderId="17" xfId="0" applyFill="1" applyBorder="1" applyAlignment="1">
      <alignment horizontal="center"/>
    </xf>
    <xf numFmtId="164" fontId="7" fillId="0" borderId="32" xfId="1" applyNumberFormat="1" applyFont="1" applyBorder="1" applyAlignment="1" applyProtection="1">
      <alignment horizontal="left"/>
      <protection locked="0"/>
    </xf>
    <xf numFmtId="164" fontId="7" fillId="3" borderId="7" xfId="1" applyNumberFormat="1" applyFont="1" applyFill="1" applyBorder="1" applyAlignment="1" applyProtection="1">
      <alignment horizontal="left"/>
      <protection locked="0"/>
    </xf>
    <xf numFmtId="164" fontId="7" fillId="3" borderId="19" xfId="1" applyNumberFormat="1" applyFont="1" applyFill="1" applyBorder="1" applyAlignment="1" applyProtection="1">
      <alignment horizontal="left"/>
      <protection locked="0"/>
    </xf>
    <xf numFmtId="0" fontId="7" fillId="0" borderId="18" xfId="0" applyFont="1" applyBorder="1" applyAlignment="1">
      <alignment vertical="center"/>
    </xf>
    <xf numFmtId="0" fontId="7" fillId="0" borderId="3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3" borderId="17" xfId="0" applyFont="1" applyFill="1" applyBorder="1" applyAlignment="1">
      <alignment vertical="center"/>
    </xf>
    <xf numFmtId="0" fontId="1" fillId="3" borderId="16" xfId="2" applyFont="1" applyFill="1" applyBorder="1" applyAlignment="1" applyProtection="1">
      <alignment horizontal="center"/>
      <protection locked="0"/>
    </xf>
    <xf numFmtId="0" fontId="7" fillId="0" borderId="17" xfId="0" applyFont="1" applyBorder="1" applyAlignment="1">
      <alignment vertical="center"/>
    </xf>
    <xf numFmtId="3" fontId="7" fillId="0" borderId="32" xfId="1" applyNumberFormat="1" applyFont="1" applyBorder="1" applyAlignment="1">
      <alignment horizontal="left"/>
    </xf>
    <xf numFmtId="3" fontId="7" fillId="0" borderId="1" xfId="1" applyNumberFormat="1" applyFont="1" applyBorder="1" applyAlignment="1">
      <alignment horizontal="center"/>
    </xf>
    <xf numFmtId="0" fontId="0" fillId="6" borderId="20" xfId="0" applyFill="1" applyBorder="1"/>
    <xf numFmtId="0" fontId="0" fillId="6" borderId="32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7" fillId="0" borderId="1" xfId="1" applyFont="1" applyBorder="1" applyProtection="1">
      <protection locked="0"/>
    </xf>
    <xf numFmtId="0" fontId="7" fillId="0" borderId="16" xfId="1" applyFont="1" applyBorder="1" applyProtection="1">
      <protection locked="0"/>
    </xf>
    <xf numFmtId="49" fontId="7" fillId="0" borderId="0" xfId="3" applyNumberFormat="1" applyFont="1" applyAlignment="1">
      <alignment horizontal="left"/>
    </xf>
    <xf numFmtId="0" fontId="0" fillId="3" borderId="25" xfId="0" applyFill="1" applyBorder="1"/>
    <xf numFmtId="0" fontId="11" fillId="4" borderId="4" xfId="2" applyFont="1" applyFill="1" applyBorder="1" applyAlignment="1" applyProtection="1">
      <alignment horizontal="left"/>
      <protection locked="0"/>
    </xf>
    <xf numFmtId="0" fontId="11" fillId="4" borderId="4" xfId="2" applyFont="1" applyFill="1" applyBorder="1" applyAlignment="1" applyProtection="1">
      <alignment horizontal="center"/>
      <protection locked="0"/>
    </xf>
    <xf numFmtId="0" fontId="11" fillId="0" borderId="4" xfId="2" applyFont="1" applyBorder="1" applyAlignment="1" applyProtection="1">
      <alignment horizontal="left"/>
      <protection locked="0"/>
    </xf>
    <xf numFmtId="0" fontId="11" fillId="0" borderId="4" xfId="2" applyFont="1" applyBorder="1" applyAlignment="1" applyProtection="1">
      <alignment horizontal="center"/>
      <protection locked="0"/>
    </xf>
    <xf numFmtId="0" fontId="1" fillId="3" borderId="4" xfId="2" applyFont="1" applyFill="1" applyBorder="1" applyAlignment="1" applyProtection="1">
      <alignment horizontal="left"/>
      <protection locked="0"/>
    </xf>
    <xf numFmtId="0" fontId="1" fillId="3" borderId="2" xfId="2" applyFont="1" applyFill="1" applyBorder="1" applyAlignment="1" applyProtection="1">
      <alignment horizontal="center"/>
      <protection locked="0"/>
    </xf>
    <xf numFmtId="0" fontId="11" fillId="0" borderId="2" xfId="2" applyFont="1" applyBorder="1" applyAlignment="1" applyProtection="1">
      <alignment horizontal="center"/>
      <protection locked="0"/>
    </xf>
    <xf numFmtId="0" fontId="1" fillId="0" borderId="2" xfId="2" applyFont="1" applyBorder="1" applyAlignment="1" applyProtection="1">
      <alignment horizontal="left"/>
      <protection locked="0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2" applyFont="1" applyBorder="1" applyAlignment="1" applyProtection="1">
      <alignment horizontal="center"/>
      <protection locked="0"/>
    </xf>
    <xf numFmtId="0" fontId="0" fillId="3" borderId="7" xfId="0" applyFill="1" applyBorder="1"/>
    <xf numFmtId="0" fontId="7" fillId="3" borderId="3" xfId="0" applyFont="1" applyFill="1" applyBorder="1"/>
    <xf numFmtId="0" fontId="7" fillId="3" borderId="8" xfId="0" applyFont="1" applyFill="1" applyBorder="1" applyAlignment="1">
      <alignment horizontal="center"/>
    </xf>
    <xf numFmtId="0" fontId="7" fillId="0" borderId="3" xfId="0" applyFont="1" applyBorder="1"/>
    <xf numFmtId="0" fontId="0" fillId="3" borderId="11" xfId="0" applyFill="1" applyBorder="1"/>
    <xf numFmtId="0" fontId="1" fillId="6" borderId="3" xfId="2" applyFont="1" applyFill="1" applyBorder="1" applyAlignment="1" applyProtection="1">
      <alignment horizontal="center"/>
      <protection locked="0"/>
    </xf>
    <xf numFmtId="0" fontId="0" fillId="7" borderId="3" xfId="0" applyFill="1" applyBorder="1"/>
    <xf numFmtId="0" fontId="0" fillId="7" borderId="8" xfId="0" applyFill="1" applyBorder="1" applyAlignment="1">
      <alignment horizontal="center"/>
    </xf>
    <xf numFmtId="0" fontId="7" fillId="0" borderId="19" xfId="0" applyFont="1" applyBorder="1"/>
    <xf numFmtId="0" fontId="0" fillId="0" borderId="18" xfId="0" applyBorder="1"/>
    <xf numFmtId="0" fontId="0" fillId="3" borderId="19" xfId="0" applyFill="1" applyBorder="1"/>
    <xf numFmtId="0" fontId="0" fillId="3" borderId="20" xfId="0" applyFill="1" applyBorder="1"/>
    <xf numFmtId="0" fontId="1" fillId="0" borderId="18" xfId="2" applyFont="1" applyBorder="1" applyAlignment="1" applyProtection="1">
      <alignment horizontal="center"/>
      <protection locked="0"/>
    </xf>
    <xf numFmtId="0" fontId="0" fillId="7" borderId="18" xfId="0" applyFill="1" applyBorder="1"/>
    <xf numFmtId="0" fontId="0" fillId="7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2" xfId="2" applyFont="1" applyBorder="1" applyAlignment="1" applyProtection="1">
      <alignment horizontal="left"/>
      <protection locked="0"/>
    </xf>
    <xf numFmtId="164" fontId="7" fillId="0" borderId="4" xfId="0" applyNumberFormat="1" applyFont="1" applyBorder="1" applyAlignment="1">
      <alignment horizontal="left"/>
    </xf>
    <xf numFmtId="164" fontId="7" fillId="3" borderId="4" xfId="0" applyNumberFormat="1" applyFont="1" applyFill="1" applyBorder="1" applyAlignment="1">
      <alignment horizontal="left"/>
    </xf>
    <xf numFmtId="49" fontId="1" fillId="0" borderId="2" xfId="2" applyNumberFormat="1" applyFont="1" applyBorder="1" applyAlignment="1" applyProtection="1">
      <alignment horizontal="center"/>
      <protection locked="0"/>
    </xf>
    <xf numFmtId="3" fontId="7" fillId="0" borderId="2" xfId="1" applyNumberFormat="1" applyFont="1" applyBorder="1" applyAlignment="1">
      <alignment horizontal="left"/>
    </xf>
    <xf numFmtId="3" fontId="7" fillId="0" borderId="2" xfId="1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8" xfId="0" applyFont="1" applyBorder="1" applyAlignment="1" applyProtection="1">
      <alignment horizontal="left"/>
      <protection locked="0"/>
    </xf>
    <xf numFmtId="0" fontId="7" fillId="0" borderId="8" xfId="2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>
      <alignment horizontal="left"/>
    </xf>
    <xf numFmtId="164" fontId="7" fillId="3" borderId="3" xfId="0" applyNumberFormat="1" applyFont="1" applyFill="1" applyBorder="1" applyAlignment="1">
      <alignment horizontal="left"/>
    </xf>
    <xf numFmtId="0" fontId="7" fillId="0" borderId="3" xfId="2" applyFont="1" applyBorder="1" applyAlignment="1" applyProtection="1">
      <alignment horizontal="center"/>
      <protection locked="0"/>
    </xf>
    <xf numFmtId="0" fontId="7" fillId="0" borderId="3" xfId="4" applyFont="1" applyBorder="1" applyAlignment="1" applyProtection="1">
      <alignment horizontal="left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7" fillId="0" borderId="3" xfId="2" applyFont="1" applyBorder="1" applyAlignment="1" applyProtection="1">
      <alignment horizontal="left"/>
      <protection locked="0"/>
    </xf>
    <xf numFmtId="0" fontId="7" fillId="4" borderId="8" xfId="2" applyFont="1" applyFill="1" applyBorder="1" applyAlignment="1" applyProtection="1">
      <alignment horizontal="left"/>
      <protection locked="0"/>
    </xf>
    <xf numFmtId="0" fontId="7" fillId="4" borderId="12" xfId="2" applyFont="1" applyFill="1" applyBorder="1" applyAlignment="1" applyProtection="1">
      <alignment horizontal="center"/>
      <protection locked="0"/>
    </xf>
    <xf numFmtId="0" fontId="7" fillId="4" borderId="8" xfId="2" applyFont="1" applyFill="1" applyBorder="1" applyAlignment="1" applyProtection="1">
      <alignment horizontal="center"/>
      <protection locked="0"/>
    </xf>
    <xf numFmtId="0" fontId="7" fillId="0" borderId="3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164" fontId="7" fillId="0" borderId="7" xfId="1" applyNumberFormat="1" applyFont="1" applyBorder="1" applyAlignment="1" applyProtection="1">
      <alignment horizontal="left"/>
      <protection locked="0"/>
    </xf>
    <xf numFmtId="164" fontId="7" fillId="3" borderId="12" xfId="1" applyNumberFormat="1" applyFont="1" applyFill="1" applyBorder="1" applyAlignment="1" applyProtection="1">
      <alignment horizontal="left"/>
      <protection locked="0"/>
    </xf>
    <xf numFmtId="0" fontId="7" fillId="0" borderId="8" xfId="0" applyFont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1" fillId="7" borderId="8" xfId="2" applyFont="1" applyFill="1" applyBorder="1" applyAlignment="1" applyProtection="1">
      <alignment horizontal="center"/>
      <protection locked="0"/>
    </xf>
    <xf numFmtId="3" fontId="7" fillId="0" borderId="3" xfId="1" applyNumberFormat="1" applyFont="1" applyBorder="1" applyAlignment="1">
      <alignment horizontal="left"/>
    </xf>
    <xf numFmtId="3" fontId="7" fillId="0" borderId="3" xfId="1" applyNumberFormat="1" applyFont="1" applyBorder="1" applyAlignment="1">
      <alignment horizontal="center"/>
    </xf>
    <xf numFmtId="3" fontId="7" fillId="0" borderId="9" xfId="1" applyNumberFormat="1" applyFont="1" applyBorder="1" applyAlignment="1">
      <alignment horizontal="left"/>
    </xf>
    <xf numFmtId="3" fontId="7" fillId="0" borderId="12" xfId="1" applyNumberFormat="1" applyFont="1" applyBorder="1" applyAlignment="1">
      <alignment horizontal="center"/>
    </xf>
    <xf numFmtId="0" fontId="7" fillId="0" borderId="0" xfId="1" applyFont="1" applyProtection="1">
      <protection locked="0"/>
    </xf>
    <xf numFmtId="164" fontId="7" fillId="0" borderId="25" xfId="1" applyNumberFormat="1" applyFont="1" applyBorder="1" applyAlignment="1" applyProtection="1">
      <alignment horizontal="left"/>
      <protection locked="0"/>
    </xf>
    <xf numFmtId="164" fontId="7" fillId="3" borderId="15" xfId="1" applyNumberFormat="1" applyFont="1" applyFill="1" applyBorder="1" applyAlignment="1" applyProtection="1">
      <alignment horizontal="left"/>
      <protection locked="0"/>
    </xf>
    <xf numFmtId="0" fontId="1" fillId="3" borderId="8" xfId="2" applyFont="1" applyFill="1" applyBorder="1" applyAlignment="1" applyProtection="1">
      <alignment horizontal="center"/>
      <protection locked="0"/>
    </xf>
    <xf numFmtId="3" fontId="7" fillId="0" borderId="7" xfId="1" applyNumberFormat="1" applyFont="1" applyBorder="1" applyAlignment="1">
      <alignment horizontal="left"/>
    </xf>
    <xf numFmtId="3" fontId="7" fillId="0" borderId="8" xfId="1" applyNumberFormat="1" applyFont="1" applyBorder="1" applyAlignment="1">
      <alignment horizontal="left"/>
    </xf>
    <xf numFmtId="0" fontId="7" fillId="6" borderId="6" xfId="0" applyFont="1" applyFill="1" applyBorder="1" applyAlignment="1">
      <alignment vertical="center"/>
    </xf>
    <xf numFmtId="164" fontId="7" fillId="0" borderId="0" xfId="1" applyNumberFormat="1" applyFont="1" applyAlignment="1" applyProtection="1">
      <alignment horizontal="left"/>
      <protection locked="0"/>
    </xf>
    <xf numFmtId="164" fontId="7" fillId="3" borderId="18" xfId="1" applyNumberFormat="1" applyFont="1" applyFill="1" applyBorder="1" applyAlignment="1" applyProtection="1">
      <alignment horizontal="left"/>
      <protection locked="0"/>
    </xf>
    <xf numFmtId="164" fontId="7" fillId="3" borderId="9" xfId="1" applyNumberFormat="1" applyFont="1" applyFill="1" applyBorder="1" applyAlignment="1" applyProtection="1">
      <alignment horizontal="left"/>
      <protection locked="0"/>
    </xf>
    <xf numFmtId="0" fontId="7" fillId="8" borderId="7" xfId="0" applyFont="1" applyFill="1" applyBorder="1" applyAlignment="1">
      <alignment vertical="center"/>
    </xf>
    <xf numFmtId="0" fontId="7" fillId="8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1" fillId="3" borderId="12" xfId="2" applyFont="1" applyFill="1" applyBorder="1" applyAlignment="1" applyProtection="1">
      <alignment horizontal="center"/>
      <protection locked="0"/>
    </xf>
    <xf numFmtId="0" fontId="1" fillId="0" borderId="12" xfId="2" applyFont="1" applyBorder="1" applyAlignment="1" applyProtection="1">
      <alignment horizontal="center"/>
      <protection locked="0"/>
    </xf>
    <xf numFmtId="3" fontId="7" fillId="3" borderId="6" xfId="1" applyNumberFormat="1" applyFont="1" applyFill="1" applyBorder="1" applyAlignment="1">
      <alignment horizontal="left"/>
    </xf>
    <xf numFmtId="3" fontId="7" fillId="3" borderId="6" xfId="1" applyNumberFormat="1" applyFont="1" applyFill="1" applyBorder="1" applyAlignment="1">
      <alignment horizontal="center"/>
    </xf>
    <xf numFmtId="3" fontId="7" fillId="0" borderId="12" xfId="1" applyNumberFormat="1" applyFont="1" applyBorder="1" applyAlignment="1">
      <alignment horizontal="left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3" xfId="0" applyFont="1" applyBorder="1"/>
    <xf numFmtId="1" fontId="9" fillId="0" borderId="22" xfId="0" applyNumberFormat="1" applyFont="1" applyBorder="1" applyAlignment="1">
      <alignment horizontal="center"/>
    </xf>
    <xf numFmtId="0" fontId="9" fillId="0" borderId="34" xfId="0" applyFont="1" applyBorder="1"/>
    <xf numFmtId="0" fontId="9" fillId="0" borderId="35" xfId="0" applyFont="1" applyBorder="1" applyAlignment="1">
      <alignment horizontal="left"/>
    </xf>
    <xf numFmtId="0" fontId="9" fillId="0" borderId="35" xfId="0" applyFont="1" applyBorder="1" applyAlignment="1">
      <alignment horizontal="center"/>
    </xf>
    <xf numFmtId="0" fontId="8" fillId="6" borderId="36" xfId="2" applyFont="1" applyFill="1" applyBorder="1" applyAlignment="1" applyProtection="1">
      <alignment horizontal="left"/>
      <protection locked="0"/>
    </xf>
    <xf numFmtId="0" fontId="8" fillId="6" borderId="27" xfId="2" applyFont="1" applyFill="1" applyBorder="1" applyAlignment="1" applyProtection="1">
      <alignment horizontal="center"/>
      <protection locked="0"/>
    </xf>
    <xf numFmtId="0" fontId="8" fillId="0" borderId="27" xfId="4" applyFont="1" applyBorder="1" applyAlignment="1" applyProtection="1">
      <alignment horizontal="left" vertical="center"/>
      <protection locked="0"/>
    </xf>
    <xf numFmtId="0" fontId="8" fillId="0" borderId="27" xfId="4" applyFont="1" applyBorder="1" applyAlignment="1" applyProtection="1">
      <alignment horizontal="center" vertical="center"/>
      <protection locked="0"/>
    </xf>
    <xf numFmtId="0" fontId="7" fillId="0" borderId="2" xfId="4" applyFont="1" applyBorder="1" applyAlignment="1" applyProtection="1">
      <alignment horizontal="center" vertical="center"/>
      <protection locked="0"/>
    </xf>
    <xf numFmtId="0" fontId="8" fillId="0" borderId="27" xfId="2" applyFont="1" applyBorder="1" applyAlignment="1" applyProtection="1">
      <alignment horizontal="left"/>
      <protection locked="0"/>
    </xf>
    <xf numFmtId="0" fontId="8" fillId="0" borderId="0" xfId="2" applyFont="1" applyAlignment="1" applyProtection="1">
      <alignment horizontal="center"/>
      <protection locked="0"/>
    </xf>
    <xf numFmtId="0" fontId="7" fillId="0" borderId="37" xfId="2" applyFont="1" applyBorder="1" applyAlignment="1" applyProtection="1">
      <alignment horizontal="left"/>
      <protection locked="0"/>
    </xf>
    <xf numFmtId="0" fontId="7" fillId="0" borderId="38" xfId="2" applyFont="1" applyBorder="1" applyAlignment="1" applyProtection="1">
      <alignment horizontal="center"/>
      <protection locked="0"/>
    </xf>
    <xf numFmtId="0" fontId="7" fillId="0" borderId="39" xfId="2" applyFont="1" applyBorder="1" applyAlignment="1" applyProtection="1">
      <alignment horizontal="center"/>
      <protection locked="0"/>
    </xf>
    <xf numFmtId="0" fontId="8" fillId="4" borderId="39" xfId="0" applyFont="1" applyFill="1" applyBorder="1" applyAlignment="1">
      <alignment horizontal="left"/>
    </xf>
    <xf numFmtId="0" fontId="7" fillId="4" borderId="40" xfId="0" applyFont="1" applyFill="1" applyBorder="1" applyAlignment="1">
      <alignment horizontal="center"/>
    </xf>
    <xf numFmtId="49" fontId="8" fillId="0" borderId="0" xfId="1" applyNumberFormat="1" applyFont="1" applyAlignment="1">
      <alignment horizontal="left"/>
    </xf>
    <xf numFmtId="0" fontId="9" fillId="0" borderId="3" xfId="0" applyFont="1" applyBorder="1"/>
    <xf numFmtId="1" fontId="9" fillId="0" borderId="3" xfId="0" applyNumberFormat="1" applyFont="1" applyBorder="1" applyAlignment="1">
      <alignment horizontal="center"/>
    </xf>
    <xf numFmtId="0" fontId="9" fillId="0" borderId="14" xfId="0" applyFont="1" applyBorder="1"/>
    <xf numFmtId="0" fontId="9" fillId="3" borderId="2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3" fontId="8" fillId="0" borderId="41" xfId="1" applyNumberFormat="1" applyFont="1" applyBorder="1" applyAlignment="1">
      <alignment horizontal="left"/>
    </xf>
    <xf numFmtId="3" fontId="8" fillId="0" borderId="42" xfId="1" applyNumberFormat="1" applyFont="1" applyBorder="1" applyAlignment="1">
      <alignment horizontal="center"/>
    </xf>
    <xf numFmtId="0" fontId="8" fillId="6" borderId="43" xfId="1" applyFont="1" applyFill="1" applyBorder="1" applyAlignment="1">
      <alignment horizontal="left"/>
    </xf>
    <xf numFmtId="0" fontId="8" fillId="6" borderId="3" xfId="1" applyFont="1" applyFill="1" applyBorder="1" applyAlignment="1">
      <alignment horizontal="center"/>
    </xf>
    <xf numFmtId="0" fontId="7" fillId="3" borderId="43" xfId="1" applyFont="1" applyFill="1" applyBorder="1" applyAlignment="1">
      <alignment horizontal="left"/>
    </xf>
    <xf numFmtId="0" fontId="7" fillId="3" borderId="7" xfId="1" applyFont="1" applyFill="1" applyBorder="1" applyAlignment="1">
      <alignment horizontal="center"/>
    </xf>
    <xf numFmtId="3" fontId="8" fillId="0" borderId="8" xfId="1" applyNumberFormat="1" applyFont="1" applyBorder="1" applyAlignment="1">
      <alignment horizontal="left"/>
    </xf>
    <xf numFmtId="3" fontId="8" fillId="0" borderId="24" xfId="1" applyNumberFormat="1" applyFont="1" applyBorder="1" applyAlignment="1">
      <alignment horizontal="center"/>
    </xf>
    <xf numFmtId="3" fontId="8" fillId="0" borderId="6" xfId="1" applyNumberFormat="1" applyFont="1" applyBorder="1" applyAlignment="1">
      <alignment horizontal="center"/>
    </xf>
    <xf numFmtId="3" fontId="7" fillId="0" borderId="44" xfId="1" applyNumberFormat="1" applyFont="1" applyBorder="1" applyAlignment="1">
      <alignment horizontal="left"/>
    </xf>
    <xf numFmtId="3" fontId="7" fillId="0" borderId="45" xfId="1" applyNumberFormat="1" applyFont="1" applyBorder="1" applyAlignment="1">
      <alignment horizontal="center"/>
    </xf>
    <xf numFmtId="0" fontId="8" fillId="4" borderId="46" xfId="1" applyFont="1" applyFill="1" applyBorder="1" applyProtection="1">
      <protection locked="0"/>
    </xf>
    <xf numFmtId="0" fontId="7" fillId="4" borderId="47" xfId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1" fontId="9" fillId="0" borderId="7" xfId="0" applyNumberFormat="1" applyFont="1" applyBorder="1" applyAlignment="1">
      <alignment horizontal="center"/>
    </xf>
    <xf numFmtId="0" fontId="9" fillId="0" borderId="15" xfId="0" applyFont="1" applyBorder="1"/>
    <xf numFmtId="0" fontId="9" fillId="3" borderId="14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3" fontId="7" fillId="0" borderId="48" xfId="1" applyNumberFormat="1" applyFont="1" applyBorder="1" applyAlignment="1">
      <alignment horizontal="left"/>
    </xf>
    <xf numFmtId="0" fontId="7" fillId="0" borderId="7" xfId="1" applyFont="1" applyBorder="1" applyAlignment="1">
      <alignment horizontal="left"/>
    </xf>
    <xf numFmtId="0" fontId="7" fillId="0" borderId="15" xfId="1" applyFont="1" applyBorder="1" applyAlignment="1">
      <alignment horizontal="center"/>
    </xf>
    <xf numFmtId="0" fontId="7" fillId="6" borderId="15" xfId="1" applyFont="1" applyFill="1" applyBorder="1" applyAlignment="1">
      <alignment horizontal="left"/>
    </xf>
    <xf numFmtId="0" fontId="7" fillId="6" borderId="7" xfId="1" applyFont="1" applyFill="1" applyBorder="1" applyAlignment="1">
      <alignment horizontal="center"/>
    </xf>
    <xf numFmtId="3" fontId="7" fillId="0" borderId="13" xfId="1" applyNumberFormat="1" applyFont="1" applyBorder="1" applyAlignment="1">
      <alignment horizontal="center"/>
    </xf>
    <xf numFmtId="3" fontId="7" fillId="0" borderId="6" xfId="1" applyNumberFormat="1" applyFont="1" applyBorder="1" applyAlignment="1">
      <alignment horizontal="center"/>
    </xf>
    <xf numFmtId="3" fontId="7" fillId="0" borderId="13" xfId="1" applyNumberFormat="1" applyFont="1" applyBorder="1" applyAlignment="1">
      <alignment horizontal="left"/>
    </xf>
    <xf numFmtId="0" fontId="7" fillId="4" borderId="49" xfId="1" applyFont="1" applyFill="1" applyBorder="1" applyProtection="1">
      <protection locked="0"/>
    </xf>
    <xf numFmtId="0" fontId="7" fillId="4" borderId="50" xfId="1" applyFont="1" applyFill="1" applyBorder="1" applyAlignment="1" applyProtection="1">
      <alignment horizontal="center"/>
      <protection locked="0"/>
    </xf>
    <xf numFmtId="49" fontId="8" fillId="0" borderId="1" xfId="1" applyNumberFormat="1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left" vertical="center"/>
    </xf>
    <xf numFmtId="0" fontId="9" fillId="0" borderId="18" xfId="0" applyFont="1" applyBorder="1"/>
    <xf numFmtId="1" fontId="9" fillId="0" borderId="18" xfId="0" applyNumberFormat="1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3" fontId="8" fillId="0" borderId="51" xfId="1" applyNumberFormat="1" applyFont="1" applyBorder="1" applyAlignment="1">
      <alignment horizontal="left"/>
    </xf>
    <xf numFmtId="3" fontId="8" fillId="0" borderId="16" xfId="1" applyNumberFormat="1" applyFont="1" applyBorder="1" applyAlignment="1">
      <alignment horizontal="center"/>
    </xf>
    <xf numFmtId="0" fontId="8" fillId="0" borderId="18" xfId="1" applyFont="1" applyBorder="1" applyAlignment="1">
      <alignment horizontal="left"/>
    </xf>
    <xf numFmtId="0" fontId="8" fillId="0" borderId="19" xfId="1" applyFont="1" applyBorder="1" applyAlignment="1">
      <alignment horizontal="center"/>
    </xf>
    <xf numFmtId="0" fontId="7" fillId="0" borderId="20" xfId="1" applyFont="1" applyBorder="1" applyAlignment="1">
      <alignment horizontal="left"/>
    </xf>
    <xf numFmtId="0" fontId="7" fillId="0" borderId="26" xfId="1" applyFont="1" applyBorder="1" applyAlignment="1">
      <alignment horizontal="center"/>
    </xf>
    <xf numFmtId="3" fontId="8" fillId="0" borderId="18" xfId="1" applyNumberFormat="1" applyFont="1" applyBorder="1" applyAlignment="1">
      <alignment horizontal="left"/>
    </xf>
    <xf numFmtId="3" fontId="8" fillId="0" borderId="26" xfId="1" applyNumberFormat="1" applyFont="1" applyBorder="1" applyAlignment="1">
      <alignment horizontal="center"/>
    </xf>
    <xf numFmtId="3" fontId="8" fillId="0" borderId="26" xfId="1" applyNumberFormat="1" applyFont="1" applyBorder="1" applyAlignment="1">
      <alignment horizontal="left"/>
    </xf>
    <xf numFmtId="3" fontId="8" fillId="0" borderId="17" xfId="1" applyNumberFormat="1" applyFont="1" applyBorder="1" applyAlignment="1">
      <alignment horizontal="center"/>
    </xf>
    <xf numFmtId="3" fontId="7" fillId="0" borderId="26" xfId="1" applyNumberFormat="1" applyFont="1" applyBorder="1" applyAlignment="1">
      <alignment horizontal="left"/>
    </xf>
    <xf numFmtId="3" fontId="7" fillId="0" borderId="32" xfId="1" applyNumberFormat="1" applyFont="1" applyBorder="1" applyAlignment="1">
      <alignment horizontal="center"/>
    </xf>
    <xf numFmtId="3" fontId="7" fillId="0" borderId="17" xfId="1" applyNumberFormat="1" applyFont="1" applyBorder="1" applyAlignment="1">
      <alignment horizontal="center"/>
    </xf>
    <xf numFmtId="0" fontId="8" fillId="0" borderId="52" xfId="1" applyFont="1" applyBorder="1" applyProtection="1">
      <protection locked="0"/>
    </xf>
    <xf numFmtId="0" fontId="7" fillId="0" borderId="53" xfId="1" applyFont="1" applyBorder="1" applyAlignment="1" applyProtection="1">
      <alignment horizontal="center"/>
      <protection locked="0"/>
    </xf>
    <xf numFmtId="0" fontId="9" fillId="3" borderId="54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/>
    </xf>
    <xf numFmtId="3" fontId="8" fillId="0" borderId="7" xfId="1" applyNumberFormat="1" applyFont="1" applyBorder="1" applyAlignment="1">
      <alignment horizontal="left"/>
    </xf>
    <xf numFmtId="3" fontId="8" fillId="0" borderId="7" xfId="1" applyNumberFormat="1" applyFont="1" applyBorder="1" applyAlignment="1">
      <alignment horizontal="center"/>
    </xf>
    <xf numFmtId="0" fontId="8" fillId="0" borderId="7" xfId="1" applyFont="1" applyBorder="1" applyAlignment="1">
      <alignment horizontal="left"/>
    </xf>
    <xf numFmtId="0" fontId="8" fillId="0" borderId="15" xfId="1" applyFont="1" applyBorder="1" applyAlignment="1">
      <alignment horizontal="center"/>
    </xf>
    <xf numFmtId="0" fontId="8" fillId="0" borderId="2" xfId="0" applyFont="1" applyBorder="1"/>
    <xf numFmtId="0" fontId="7" fillId="0" borderId="6" xfId="1" applyFont="1" applyBorder="1" applyAlignment="1">
      <alignment horizontal="center"/>
    </xf>
    <xf numFmtId="3" fontId="8" fillId="0" borderId="12" xfId="1" applyNumberFormat="1" applyFont="1" applyBorder="1" applyAlignment="1">
      <alignment horizontal="left"/>
    </xf>
    <xf numFmtId="3" fontId="8" fillId="0" borderId="27" xfId="1" applyNumberFormat="1" applyFont="1" applyBorder="1" applyAlignment="1">
      <alignment horizontal="center"/>
    </xf>
    <xf numFmtId="3" fontId="8" fillId="0" borderId="10" xfId="1" applyNumberFormat="1" applyFont="1" applyBorder="1" applyAlignment="1">
      <alignment horizontal="left"/>
    </xf>
    <xf numFmtId="3" fontId="8" fillId="0" borderId="13" xfId="1" applyNumberFormat="1" applyFont="1" applyBorder="1" applyAlignment="1">
      <alignment horizontal="center"/>
    </xf>
    <xf numFmtId="3" fontId="7" fillId="4" borderId="8" xfId="1" applyNumberFormat="1" applyFont="1" applyFill="1" applyBorder="1" applyAlignment="1">
      <alignment horizontal="left"/>
    </xf>
    <xf numFmtId="3" fontId="7" fillId="4" borderId="9" xfId="1" applyNumberFormat="1" applyFont="1" applyFill="1" applyBorder="1" applyAlignment="1">
      <alignment horizontal="center"/>
    </xf>
    <xf numFmtId="3" fontId="7" fillId="4" borderId="24" xfId="1" applyNumberFormat="1" applyFont="1" applyFill="1" applyBorder="1" applyAlignment="1">
      <alignment horizontal="center"/>
    </xf>
    <xf numFmtId="0" fontId="8" fillId="4" borderId="55" xfId="1" applyFont="1" applyFill="1" applyBorder="1" applyProtection="1">
      <protection locked="0"/>
    </xf>
    <xf numFmtId="0" fontId="0" fillId="0" borderId="56" xfId="0" applyBorder="1" applyAlignment="1">
      <alignment horizontal="center"/>
    </xf>
    <xf numFmtId="0" fontId="9" fillId="0" borderId="25" xfId="0" applyFont="1" applyBorder="1"/>
    <xf numFmtId="1" fontId="9" fillId="0" borderId="6" xfId="0" applyNumberFormat="1" applyFont="1" applyBorder="1" applyAlignment="1">
      <alignment horizontal="center"/>
    </xf>
    <xf numFmtId="0" fontId="12" fillId="0" borderId="0" xfId="0" applyFont="1" applyAlignment="1">
      <alignment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8" fillId="0" borderId="7" xfId="1" applyFont="1" applyBorder="1" applyAlignment="1">
      <alignment horizontal="center"/>
    </xf>
    <xf numFmtId="0" fontId="7" fillId="3" borderId="6" xfId="1" applyFont="1" applyFill="1" applyBorder="1" applyAlignment="1">
      <alignment horizontal="left"/>
    </xf>
    <xf numFmtId="3" fontId="8" fillId="4" borderId="12" xfId="1" applyNumberFormat="1" applyFont="1" applyFill="1" applyBorder="1" applyAlignment="1">
      <alignment horizontal="left"/>
    </xf>
    <xf numFmtId="3" fontId="8" fillId="4" borderId="8" xfId="1" applyNumberFormat="1" applyFont="1" applyFill="1" applyBorder="1" applyAlignment="1">
      <alignment horizontal="center"/>
    </xf>
    <xf numFmtId="3" fontId="11" fillId="0" borderId="10" xfId="1" applyNumberFormat="1" applyFont="1" applyBorder="1" applyAlignment="1">
      <alignment horizontal="left"/>
    </xf>
    <xf numFmtId="3" fontId="11" fillId="0" borderId="13" xfId="1" applyNumberFormat="1" applyFont="1" applyBorder="1" applyAlignment="1">
      <alignment horizontal="center"/>
    </xf>
    <xf numFmtId="3" fontId="7" fillId="0" borderId="8" xfId="1" applyNumberFormat="1" applyFont="1" applyBorder="1" applyAlignment="1">
      <alignment horizontal="center"/>
    </xf>
    <xf numFmtId="0" fontId="8" fillId="4" borderId="9" xfId="1" applyFont="1" applyFill="1" applyBorder="1" applyProtection="1">
      <protection locked="0"/>
    </xf>
    <xf numFmtId="1" fontId="9" fillId="0" borderId="24" xfId="0" applyNumberFormat="1" applyFont="1" applyBorder="1" applyAlignment="1">
      <alignment horizontal="center"/>
    </xf>
    <xf numFmtId="0" fontId="12" fillId="0" borderId="24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3" fontId="8" fillId="0" borderId="14" xfId="1" applyNumberFormat="1" applyFont="1" applyBorder="1" applyAlignment="1">
      <alignment horizontal="left"/>
    </xf>
    <xf numFmtId="3" fontId="8" fillId="0" borderId="8" xfId="1" applyNumberFormat="1" applyFont="1" applyBorder="1" applyAlignment="1">
      <alignment horizontal="center"/>
    </xf>
    <xf numFmtId="0" fontId="8" fillId="0" borderId="14" xfId="1" applyFont="1" applyBorder="1" applyAlignment="1">
      <alignment horizontal="left"/>
    </xf>
    <xf numFmtId="0" fontId="8" fillId="0" borderId="9" xfId="1" applyFont="1" applyBorder="1" applyAlignment="1">
      <alignment horizontal="center"/>
    </xf>
    <xf numFmtId="0" fontId="7" fillId="0" borderId="9" xfId="1" applyFont="1" applyBorder="1" applyAlignment="1">
      <alignment horizontal="left"/>
    </xf>
    <xf numFmtId="0" fontId="7" fillId="0" borderId="9" xfId="1" applyFont="1" applyBorder="1" applyAlignment="1">
      <alignment horizontal="center"/>
    </xf>
    <xf numFmtId="3" fontId="8" fillId="0" borderId="9" xfId="1" applyNumberFormat="1" applyFont="1" applyBorder="1" applyAlignment="1">
      <alignment horizontal="left"/>
    </xf>
    <xf numFmtId="3" fontId="8" fillId="0" borderId="9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left"/>
    </xf>
    <xf numFmtId="3" fontId="8" fillId="0" borderId="25" xfId="1" applyNumberFormat="1" applyFont="1" applyBorder="1" applyAlignment="1">
      <alignment horizontal="center"/>
    </xf>
    <xf numFmtId="3" fontId="7" fillId="0" borderId="9" xfId="1" applyNumberFormat="1" applyFont="1" applyBorder="1" applyAlignment="1">
      <alignment horizontal="center"/>
    </xf>
    <xf numFmtId="49" fontId="8" fillId="0" borderId="19" xfId="1" applyNumberFormat="1" applyFont="1" applyBorder="1" applyAlignment="1">
      <alignment horizontal="left"/>
    </xf>
    <xf numFmtId="0" fontId="9" fillId="0" borderId="19" xfId="0" applyFont="1" applyBorder="1"/>
    <xf numFmtId="1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3" fontId="8" fillId="0" borderId="19" xfId="1" applyNumberFormat="1" applyFont="1" applyBorder="1" applyAlignment="1">
      <alignment horizontal="left"/>
    </xf>
    <xf numFmtId="3" fontId="8" fillId="0" borderId="18" xfId="1" applyNumberFormat="1" applyFont="1" applyBorder="1" applyAlignment="1">
      <alignment horizontal="center"/>
    </xf>
    <xf numFmtId="0" fontId="8" fillId="0" borderId="19" xfId="1" applyFont="1" applyBorder="1" applyAlignment="1">
      <alignment horizontal="left"/>
    </xf>
    <xf numFmtId="0" fontId="8" fillId="0" borderId="20" xfId="1" applyFont="1" applyBorder="1" applyAlignment="1">
      <alignment horizontal="center"/>
    </xf>
    <xf numFmtId="0" fontId="7" fillId="3" borderId="18" xfId="1" applyFont="1" applyFill="1" applyBorder="1" applyAlignment="1">
      <alignment horizontal="left"/>
    </xf>
    <xf numFmtId="0" fontId="7" fillId="3" borderId="19" xfId="1" applyFont="1" applyFill="1" applyBorder="1" applyAlignment="1">
      <alignment horizontal="center"/>
    </xf>
    <xf numFmtId="3" fontId="8" fillId="5" borderId="19" xfId="1" applyNumberFormat="1" applyFont="1" applyFill="1" applyBorder="1" applyAlignment="1">
      <alignment horizontal="left"/>
    </xf>
    <xf numFmtId="3" fontId="8" fillId="5" borderId="18" xfId="1" applyNumberFormat="1" applyFont="1" applyFill="1" applyBorder="1" applyAlignment="1">
      <alignment horizontal="center"/>
    </xf>
    <xf numFmtId="3" fontId="8" fillId="0" borderId="1" xfId="1" applyNumberFormat="1" applyFont="1" applyBorder="1" applyAlignment="1">
      <alignment horizontal="left"/>
    </xf>
    <xf numFmtId="3" fontId="8" fillId="0" borderId="19" xfId="1" applyNumberFormat="1" applyFont="1" applyBorder="1" applyAlignment="1">
      <alignment horizontal="center"/>
    </xf>
    <xf numFmtId="3" fontId="7" fillId="0" borderId="19" xfId="1" applyNumberFormat="1" applyFont="1" applyBorder="1" applyAlignment="1">
      <alignment horizontal="left"/>
    </xf>
    <xf numFmtId="3" fontId="7" fillId="0" borderId="19" xfId="1" applyNumberFormat="1" applyFont="1" applyBorder="1" applyAlignment="1">
      <alignment horizontal="center"/>
    </xf>
    <xf numFmtId="3" fontId="7" fillId="0" borderId="20" xfId="1" applyNumberFormat="1" applyFont="1" applyBorder="1" applyAlignment="1">
      <alignment horizontal="center"/>
    </xf>
    <xf numFmtId="0" fontId="8" fillId="4" borderId="20" xfId="1" applyFont="1" applyFill="1" applyBorder="1" applyProtection="1">
      <protection locked="0"/>
    </xf>
    <xf numFmtId="0" fontId="7" fillId="4" borderId="26" xfId="1" applyFont="1" applyFill="1" applyBorder="1" applyAlignment="1" applyProtection="1">
      <alignment horizontal="center"/>
      <protection locked="0"/>
    </xf>
    <xf numFmtId="49" fontId="7" fillId="0" borderId="8" xfId="1" applyNumberFormat="1" applyFont="1" applyBorder="1" applyAlignment="1">
      <alignment horizontal="left"/>
    </xf>
    <xf numFmtId="0" fontId="9" fillId="0" borderId="7" xfId="0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7" fillId="0" borderId="14" xfId="1" applyFont="1" applyBorder="1"/>
    <xf numFmtId="0" fontId="7" fillId="0" borderId="12" xfId="1" applyFont="1" applyBorder="1" applyAlignment="1">
      <alignment horizontal="center"/>
    </xf>
    <xf numFmtId="0" fontId="7" fillId="7" borderId="7" xfId="1" applyFont="1" applyFill="1" applyBorder="1"/>
    <xf numFmtId="0" fontId="7" fillId="7" borderId="7" xfId="1" applyFont="1" applyFill="1" applyBorder="1" applyAlignment="1">
      <alignment horizontal="center"/>
    </xf>
    <xf numFmtId="3" fontId="7" fillId="6" borderId="3" xfId="1" applyNumberFormat="1" applyFont="1" applyFill="1" applyBorder="1" applyAlignment="1">
      <alignment horizontal="left"/>
    </xf>
    <xf numFmtId="3" fontId="7" fillId="6" borderId="3" xfId="1" applyNumberFormat="1" applyFont="1" applyFill="1" applyBorder="1" applyAlignment="1">
      <alignment horizontal="center"/>
    </xf>
    <xf numFmtId="3" fontId="7" fillId="6" borderId="14" xfId="1" applyNumberFormat="1" applyFont="1" applyFill="1" applyBorder="1" applyAlignment="1">
      <alignment horizontal="center"/>
    </xf>
    <xf numFmtId="3" fontId="7" fillId="0" borderId="24" xfId="1" applyNumberFormat="1" applyFont="1" applyBorder="1" applyAlignment="1">
      <alignment horizontal="center"/>
    </xf>
    <xf numFmtId="0" fontId="8" fillId="0" borderId="12" xfId="0" applyFont="1" applyBorder="1"/>
    <xf numFmtId="0" fontId="7" fillId="0" borderId="4" xfId="1" applyFont="1" applyBorder="1" applyAlignment="1" applyProtection="1">
      <alignment horizontal="center"/>
      <protection locked="0"/>
    </xf>
    <xf numFmtId="1" fontId="8" fillId="0" borderId="6" xfId="0" applyNumberFormat="1" applyFont="1" applyBorder="1" applyAlignment="1">
      <alignment horizontal="center"/>
    </xf>
    <xf numFmtId="3" fontId="7" fillId="0" borderId="0" xfId="1" applyNumberFormat="1" applyFont="1" applyAlignment="1">
      <alignment horizontal="left"/>
    </xf>
    <xf numFmtId="0" fontId="7" fillId="0" borderId="0" xfId="1" applyFont="1"/>
    <xf numFmtId="0" fontId="7" fillId="0" borderId="11" xfId="1" applyFont="1" applyBorder="1" applyAlignment="1">
      <alignment horizontal="center"/>
    </xf>
    <xf numFmtId="0" fontId="7" fillId="5" borderId="8" xfId="1" applyFont="1" applyFill="1" applyBorder="1"/>
    <xf numFmtId="0" fontId="7" fillId="5" borderId="3" xfId="1" applyFont="1" applyFill="1" applyBorder="1" applyAlignment="1">
      <alignment horizontal="center"/>
    </xf>
    <xf numFmtId="3" fontId="7" fillId="0" borderId="6" xfId="1" applyNumberFormat="1" applyFont="1" applyBorder="1" applyAlignment="1">
      <alignment horizontal="left"/>
    </xf>
    <xf numFmtId="0" fontId="7" fillId="0" borderId="6" xfId="1" applyFont="1" applyBorder="1" applyAlignment="1" applyProtection="1">
      <alignment horizontal="center"/>
      <protection locked="0"/>
    </xf>
    <xf numFmtId="49" fontId="7" fillId="0" borderId="1" xfId="1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/>
    <xf numFmtId="1" fontId="8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3" fontId="7" fillId="0" borderId="16" xfId="1" applyNumberFormat="1" applyFont="1" applyBorder="1" applyAlignment="1">
      <alignment horizontal="left"/>
    </xf>
    <xf numFmtId="0" fontId="7" fillId="6" borderId="1" xfId="1" applyFont="1" applyFill="1" applyBorder="1"/>
    <xf numFmtId="0" fontId="7" fillId="6" borderId="1" xfId="1" applyFont="1" applyFill="1" applyBorder="1" applyAlignment="1">
      <alignment horizontal="center"/>
    </xf>
    <xf numFmtId="0" fontId="7" fillId="0" borderId="1" xfId="1" applyFont="1" applyBorder="1"/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 applyAlignment="1">
      <alignment horizontal="left"/>
    </xf>
    <xf numFmtId="3" fontId="7" fillId="0" borderId="17" xfId="1" applyNumberFormat="1" applyFont="1" applyBorder="1" applyAlignment="1">
      <alignment horizontal="left"/>
    </xf>
    <xf numFmtId="0" fontId="7" fillId="0" borderId="16" xfId="1" applyFont="1" applyBorder="1" applyAlignment="1" applyProtection="1">
      <alignment horizontal="center"/>
      <protection locked="0"/>
    </xf>
    <xf numFmtId="49" fontId="7" fillId="0" borderId="0" xfId="0" applyNumberFormat="1" applyFont="1" applyAlignment="1">
      <alignment horizontal="left" vertical="center"/>
    </xf>
    <xf numFmtId="0" fontId="9" fillId="0" borderId="6" xfId="0" applyFont="1" applyBorder="1"/>
    <xf numFmtId="0" fontId="9" fillId="3" borderId="13" xfId="0" applyFont="1" applyFill="1" applyBorder="1" applyAlignment="1">
      <alignment horizontal="center"/>
    </xf>
    <xf numFmtId="3" fontId="8" fillId="0" borderId="6" xfId="1" applyNumberFormat="1" applyFont="1" applyBorder="1" applyAlignment="1">
      <alignment horizontal="left"/>
    </xf>
    <xf numFmtId="3" fontId="8" fillId="0" borderId="10" xfId="1" applyNumberFormat="1" applyFont="1" applyBorder="1" applyAlignment="1">
      <alignment horizontal="center"/>
    </xf>
    <xf numFmtId="0" fontId="8" fillId="0" borderId="2" xfId="1" applyFont="1" applyBorder="1" applyAlignment="1">
      <alignment horizontal="left"/>
    </xf>
    <xf numFmtId="0" fontId="8" fillId="0" borderId="10" xfId="1" applyFont="1" applyBorder="1" applyAlignment="1">
      <alignment horizontal="center"/>
    </xf>
    <xf numFmtId="0" fontId="7" fillId="3" borderId="13" xfId="1" applyFont="1" applyFill="1" applyBorder="1" applyAlignment="1">
      <alignment horizontal="left"/>
    </xf>
    <xf numFmtId="0" fontId="7" fillId="3" borderId="10" xfId="1" applyFont="1" applyFill="1" applyBorder="1" applyAlignment="1">
      <alignment horizontal="center"/>
    </xf>
    <xf numFmtId="3" fontId="7" fillId="4" borderId="10" xfId="1" applyNumberFormat="1" applyFont="1" applyFill="1" applyBorder="1" applyAlignment="1">
      <alignment horizontal="center"/>
    </xf>
    <xf numFmtId="0" fontId="8" fillId="4" borderId="24" xfId="1" applyFont="1" applyFill="1" applyBorder="1" applyProtection="1">
      <protection locked="0"/>
    </xf>
    <xf numFmtId="0" fontId="7" fillId="4" borderId="57" xfId="1" applyFont="1" applyFill="1" applyBorder="1" applyAlignment="1" applyProtection="1">
      <alignment horizontal="center"/>
      <protection locked="0"/>
    </xf>
    <xf numFmtId="1" fontId="9" fillId="0" borderId="0" xfId="0" applyNumberFormat="1" applyFont="1" applyAlignment="1">
      <alignment horizontal="center"/>
    </xf>
    <xf numFmtId="0" fontId="9" fillId="3" borderId="3" xfId="0" applyFont="1" applyFill="1" applyBorder="1" applyAlignment="1">
      <alignment horizontal="center"/>
    </xf>
    <xf numFmtId="3" fontId="8" fillId="0" borderId="0" xfId="1" applyNumberFormat="1" applyFont="1" applyAlignment="1">
      <alignment horizontal="left"/>
    </xf>
    <xf numFmtId="3" fontId="8" fillId="0" borderId="0" xfId="1" applyNumberFormat="1" applyFont="1" applyAlignment="1">
      <alignment horizontal="center"/>
    </xf>
    <xf numFmtId="0" fontId="8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7" fillId="0" borderId="15" xfId="1" applyFont="1" applyBorder="1" applyAlignment="1">
      <alignment horizontal="left"/>
    </xf>
    <xf numFmtId="3" fontId="7" fillId="4" borderId="2" xfId="1" applyNumberFormat="1" applyFont="1" applyFill="1" applyBorder="1" applyAlignment="1">
      <alignment horizontal="left"/>
    </xf>
    <xf numFmtId="3" fontId="7" fillId="4" borderId="8" xfId="1" applyNumberFormat="1" applyFont="1" applyFill="1" applyBorder="1" applyAlignment="1">
      <alignment horizontal="center"/>
    </xf>
    <xf numFmtId="0" fontId="8" fillId="4" borderId="3" xfId="1" applyFont="1" applyFill="1" applyBorder="1" applyProtection="1">
      <protection locked="0"/>
    </xf>
    <xf numFmtId="0" fontId="7" fillId="4" borderId="12" xfId="1" applyFont="1" applyFill="1" applyBorder="1" applyAlignment="1" applyProtection="1">
      <alignment horizontal="center"/>
      <protection locked="0"/>
    </xf>
    <xf numFmtId="49" fontId="7" fillId="0" borderId="25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1" fontId="7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left" vertical="center"/>
    </xf>
    <xf numFmtId="16" fontId="7" fillId="6" borderId="0" xfId="0" applyNumberFormat="1" applyFont="1" applyFill="1" applyAlignment="1">
      <alignment horizontal="left" vertical="center"/>
    </xf>
    <xf numFmtId="0" fontId="7" fillId="6" borderId="11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3" borderId="25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center" vertical="center"/>
    </xf>
    <xf numFmtId="16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3" fontId="7" fillId="0" borderId="4" xfId="1" applyNumberFormat="1" applyFont="1" applyBorder="1" applyAlignment="1">
      <alignment horizontal="left"/>
    </xf>
    <xf numFmtId="0" fontId="9" fillId="0" borderId="35" xfId="0" applyFont="1" applyBorder="1"/>
    <xf numFmtId="0" fontId="9" fillId="0" borderId="58" xfId="0" applyFont="1" applyBorder="1"/>
    <xf numFmtId="0" fontId="9" fillId="3" borderId="40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7" fillId="0" borderId="25" xfId="2" applyFont="1" applyBorder="1" applyAlignment="1" applyProtection="1">
      <alignment horizontal="left"/>
      <protection locked="0"/>
    </xf>
    <xf numFmtId="0" fontId="8" fillId="0" borderId="25" xfId="2" applyFont="1" applyBorder="1" applyAlignment="1" applyProtection="1">
      <alignment horizontal="center"/>
      <protection locked="0"/>
    </xf>
    <xf numFmtId="0" fontId="7" fillId="0" borderId="25" xfId="4" applyFont="1" applyBorder="1" applyAlignment="1" applyProtection="1">
      <alignment horizontal="left" vertical="center"/>
      <protection locked="0"/>
    </xf>
    <xf numFmtId="0" fontId="8" fillId="0" borderId="25" xfId="4" applyFont="1" applyBorder="1" applyAlignment="1" applyProtection="1">
      <alignment horizontal="center" vertical="center"/>
      <protection locked="0"/>
    </xf>
    <xf numFmtId="0" fontId="7" fillId="7" borderId="4" xfId="4" applyFont="1" applyFill="1" applyBorder="1" applyAlignment="1" applyProtection="1">
      <alignment horizontal="left" vertical="center"/>
      <protection locked="0"/>
    </xf>
    <xf numFmtId="0" fontId="7" fillId="7" borderId="25" xfId="4" applyFont="1" applyFill="1" applyBorder="1" applyAlignment="1" applyProtection="1">
      <alignment horizontal="center" vertical="center"/>
      <protection locked="0"/>
    </xf>
    <xf numFmtId="0" fontId="7" fillId="0" borderId="4" xfId="4" applyFont="1" applyBorder="1" applyAlignment="1" applyProtection="1">
      <alignment horizontal="left" vertical="center"/>
      <protection locked="0"/>
    </xf>
    <xf numFmtId="0" fontId="8" fillId="0" borderId="4" xfId="4" applyFont="1" applyBorder="1" applyAlignment="1" applyProtection="1">
      <alignment horizontal="center" vertical="center"/>
      <protection locked="0"/>
    </xf>
    <xf numFmtId="0" fontId="8" fillId="0" borderId="10" xfId="2" applyFont="1" applyBorder="1" applyAlignment="1" applyProtection="1">
      <alignment horizontal="center"/>
      <protection locked="0"/>
    </xf>
    <xf numFmtId="0" fontId="7" fillId="0" borderId="24" xfId="2" applyFont="1" applyBorder="1" applyAlignment="1" applyProtection="1">
      <alignment horizontal="center"/>
      <protection locked="0"/>
    </xf>
    <xf numFmtId="0" fontId="7" fillId="4" borderId="10" xfId="2" applyFont="1" applyFill="1" applyBorder="1" applyAlignment="1" applyProtection="1">
      <alignment horizontal="center"/>
      <protection locked="0"/>
    </xf>
    <xf numFmtId="0" fontId="8" fillId="4" borderId="59" xfId="0" applyFont="1" applyFill="1" applyBorder="1" applyAlignment="1">
      <alignment horizontal="left"/>
    </xf>
    <xf numFmtId="0" fontId="7" fillId="4" borderId="60" xfId="0" applyFont="1" applyFill="1" applyBorder="1" applyAlignment="1">
      <alignment horizontal="left"/>
    </xf>
    <xf numFmtId="0" fontId="9" fillId="6" borderId="0" xfId="0" applyFont="1" applyFill="1"/>
    <xf numFmtId="1" fontId="9" fillId="6" borderId="0" xfId="0" applyNumberFormat="1" applyFont="1" applyFill="1" applyAlignment="1">
      <alignment horizontal="center"/>
    </xf>
    <xf numFmtId="0" fontId="9" fillId="0" borderId="61" xfId="0" applyFont="1" applyBorder="1"/>
    <xf numFmtId="0" fontId="9" fillId="3" borderId="24" xfId="0" applyFont="1" applyFill="1" applyBorder="1" applyAlignment="1">
      <alignment horizontal="center"/>
    </xf>
    <xf numFmtId="0" fontId="8" fillId="0" borderId="3" xfId="2" applyFont="1" applyBorder="1" applyAlignment="1" applyProtection="1">
      <alignment horizontal="left"/>
      <protection locked="0"/>
    </xf>
    <xf numFmtId="0" fontId="8" fillId="0" borderId="3" xfId="2" applyFont="1" applyBorder="1" applyAlignment="1" applyProtection="1">
      <alignment horizontal="center"/>
      <protection locked="0"/>
    </xf>
    <xf numFmtId="0" fontId="8" fillId="6" borderId="8" xfId="2" applyFont="1" applyFill="1" applyBorder="1" applyAlignment="1" applyProtection="1">
      <alignment horizontal="left"/>
      <protection locked="0"/>
    </xf>
    <xf numFmtId="0" fontId="8" fillId="6" borderId="8" xfId="2" applyFont="1" applyFill="1" applyBorder="1" applyAlignment="1" applyProtection="1">
      <alignment horizontal="center" wrapText="1"/>
      <protection locked="0"/>
    </xf>
    <xf numFmtId="0" fontId="7" fillId="6" borderId="2" xfId="2" applyFont="1" applyFill="1" applyBorder="1" applyAlignment="1" applyProtection="1">
      <alignment horizontal="left"/>
      <protection locked="0"/>
    </xf>
    <xf numFmtId="0" fontId="7" fillId="6" borderId="8" xfId="2" applyFont="1" applyFill="1" applyBorder="1" applyAlignment="1" applyProtection="1">
      <alignment horizontal="center" wrapText="1"/>
      <protection locked="0"/>
    </xf>
    <xf numFmtId="0" fontId="8" fillId="0" borderId="8" xfId="2" applyFont="1" applyBorder="1" applyAlignment="1" applyProtection="1">
      <alignment horizontal="left"/>
      <protection locked="0"/>
    </xf>
    <xf numFmtId="0" fontId="8" fillId="8" borderId="3" xfId="2" applyFont="1" applyFill="1" applyBorder="1" applyAlignment="1" applyProtection="1">
      <alignment horizontal="left"/>
      <protection locked="0"/>
    </xf>
    <xf numFmtId="0" fontId="8" fillId="8" borderId="10" xfId="2" applyFont="1" applyFill="1" applyBorder="1" applyAlignment="1" applyProtection="1">
      <alignment horizontal="center"/>
      <protection locked="0"/>
    </xf>
    <xf numFmtId="0" fontId="7" fillId="0" borderId="11" xfId="2" applyFont="1" applyBorder="1" applyAlignment="1" applyProtection="1">
      <alignment horizontal="center"/>
      <protection locked="0"/>
    </xf>
    <xf numFmtId="0" fontId="7" fillId="0" borderId="12" xfId="2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left"/>
    </xf>
    <xf numFmtId="0" fontId="7" fillId="4" borderId="39" xfId="0" applyFont="1" applyFill="1" applyBorder="1" applyAlignment="1">
      <alignment horizontal="left"/>
    </xf>
    <xf numFmtId="0" fontId="9" fillId="0" borderId="62" xfId="0" applyFont="1" applyBorder="1"/>
    <xf numFmtId="1" fontId="9" fillId="0" borderId="45" xfId="0" applyNumberFormat="1" applyFont="1" applyBorder="1" applyAlignment="1">
      <alignment horizontal="center"/>
    </xf>
    <xf numFmtId="0" fontId="9" fillId="0" borderId="63" xfId="0" applyFont="1" applyBorder="1"/>
    <xf numFmtId="0" fontId="9" fillId="3" borderId="64" xfId="0" applyFont="1" applyFill="1" applyBorder="1" applyAlignment="1">
      <alignment horizontal="center"/>
    </xf>
    <xf numFmtId="0" fontId="9" fillId="3" borderId="65" xfId="0" applyFont="1" applyFill="1" applyBorder="1" applyAlignment="1">
      <alignment horizontal="center"/>
    </xf>
    <xf numFmtId="0" fontId="8" fillId="0" borderId="66" xfId="2" applyFont="1" applyBorder="1" applyAlignment="1" applyProtection="1">
      <alignment horizontal="left"/>
      <protection locked="0"/>
    </xf>
    <xf numFmtId="0" fontId="8" fillId="0" borderId="67" xfId="2" applyFont="1" applyBorder="1" applyAlignment="1" applyProtection="1">
      <alignment horizontal="center"/>
      <protection locked="0"/>
    </xf>
    <xf numFmtId="0" fontId="8" fillId="0" borderId="43" xfId="2" applyFont="1" applyBorder="1" applyAlignment="1" applyProtection="1">
      <alignment horizontal="left"/>
      <protection locked="0"/>
    </xf>
    <xf numFmtId="0" fontId="7" fillId="0" borderId="43" xfId="2" applyFont="1" applyBorder="1" applyAlignment="1" applyProtection="1">
      <alignment horizontal="left"/>
      <protection locked="0"/>
    </xf>
    <xf numFmtId="0" fontId="7" fillId="6" borderId="62" xfId="2" applyFont="1" applyFill="1" applyBorder="1" applyAlignment="1" applyProtection="1">
      <alignment horizontal="left"/>
      <protection locked="0"/>
    </xf>
    <xf numFmtId="0" fontId="7" fillId="6" borderId="45" xfId="2" applyFont="1" applyFill="1" applyBorder="1" applyAlignment="1" applyProtection="1">
      <alignment horizontal="center"/>
      <protection locked="0"/>
    </xf>
    <xf numFmtId="0" fontId="8" fillId="0" borderId="45" xfId="2" applyFont="1" applyBorder="1" applyAlignment="1" applyProtection="1">
      <alignment horizontal="center"/>
      <protection locked="0"/>
    </xf>
    <xf numFmtId="0" fontId="8" fillId="4" borderId="61" xfId="0" applyFont="1" applyFill="1" applyBorder="1" applyAlignment="1">
      <alignment horizontal="left"/>
    </xf>
    <xf numFmtId="0" fontId="7" fillId="4" borderId="68" xfId="0" applyFont="1" applyFill="1" applyBorder="1" applyAlignment="1">
      <alignment horizontal="left"/>
    </xf>
    <xf numFmtId="0" fontId="9" fillId="0" borderId="45" xfId="0" applyFont="1" applyBorder="1"/>
    <xf numFmtId="0" fontId="9" fillId="0" borderId="69" xfId="0" applyFont="1" applyBorder="1"/>
    <xf numFmtId="0" fontId="9" fillId="3" borderId="70" xfId="0" applyFont="1" applyFill="1" applyBorder="1" applyAlignment="1">
      <alignment horizontal="center"/>
    </xf>
    <xf numFmtId="0" fontId="9" fillId="3" borderId="55" xfId="0" applyFont="1" applyFill="1" applyBorder="1" applyAlignment="1">
      <alignment horizontal="center"/>
    </xf>
    <xf numFmtId="0" fontId="8" fillId="0" borderId="50" xfId="2" applyFont="1" applyBorder="1" applyAlignment="1" applyProtection="1">
      <alignment horizontal="left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7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 applyProtection="1">
      <alignment horizontal="center"/>
      <protection locked="0"/>
    </xf>
    <xf numFmtId="0" fontId="7" fillId="0" borderId="71" xfId="2" applyFont="1" applyBorder="1" applyAlignment="1" applyProtection="1">
      <alignment horizontal="left"/>
      <protection locked="0"/>
    </xf>
    <xf numFmtId="0" fontId="7" fillId="0" borderId="72" xfId="2" applyFont="1" applyBorder="1" applyAlignment="1" applyProtection="1">
      <alignment horizontal="center"/>
      <protection locked="0"/>
    </xf>
    <xf numFmtId="0" fontId="8" fillId="4" borderId="73" xfId="0" applyFont="1" applyFill="1" applyBorder="1" applyAlignment="1">
      <alignment horizontal="left"/>
    </xf>
    <xf numFmtId="0" fontId="7" fillId="4" borderId="74" xfId="0" applyFont="1" applyFill="1" applyBorder="1" applyAlignment="1">
      <alignment horizontal="left"/>
    </xf>
    <xf numFmtId="1" fontId="9" fillId="0" borderId="14" xfId="0" applyNumberFormat="1" applyFont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8" fillId="0" borderId="7" xfId="2" applyFont="1" applyBorder="1" applyAlignment="1" applyProtection="1">
      <alignment horizontal="left"/>
      <protection locked="0"/>
    </xf>
    <xf numFmtId="0" fontId="7" fillId="0" borderId="0" xfId="2" applyFont="1" applyAlignment="1" applyProtection="1">
      <alignment horizontal="left"/>
      <protection locked="0"/>
    </xf>
    <xf numFmtId="0" fontId="7" fillId="0" borderId="7" xfId="2" applyFont="1" applyBorder="1" applyAlignment="1" applyProtection="1">
      <alignment horizontal="left"/>
      <protection locked="0"/>
    </xf>
    <xf numFmtId="0" fontId="7" fillId="0" borderId="70" xfId="2" applyFont="1" applyBorder="1" applyAlignment="1" applyProtection="1">
      <alignment horizontal="left"/>
      <protection locked="0"/>
    </xf>
    <xf numFmtId="0" fontId="7" fillId="0" borderId="47" xfId="2" applyFont="1" applyBorder="1" applyAlignment="1" applyProtection="1">
      <alignment horizontal="center"/>
      <protection locked="0"/>
    </xf>
    <xf numFmtId="0" fontId="8" fillId="4" borderId="15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9" fillId="0" borderId="15" xfId="0" applyFont="1" applyBorder="1" applyAlignment="1">
      <alignment horizontal="left" vertical="center"/>
    </xf>
    <xf numFmtId="0" fontId="9" fillId="0" borderId="11" xfId="0" applyFont="1" applyBorder="1"/>
    <xf numFmtId="1" fontId="9" fillId="0" borderId="13" xfId="0" applyNumberFormat="1" applyFont="1" applyBorder="1" applyAlignment="1">
      <alignment horizontal="center"/>
    </xf>
    <xf numFmtId="0" fontId="7" fillId="0" borderId="75" xfId="0" applyFont="1" applyBorder="1" applyAlignment="1">
      <alignment horizontal="left" vertical="center"/>
    </xf>
    <xf numFmtId="0" fontId="7" fillId="0" borderId="76" xfId="2" applyFont="1" applyBorder="1" applyAlignment="1" applyProtection="1">
      <alignment horizontal="center"/>
      <protection locked="0"/>
    </xf>
    <xf numFmtId="0" fontId="7" fillId="0" borderId="77" xfId="0" applyFont="1" applyBorder="1" applyAlignment="1">
      <alignment horizontal="left" vertical="center"/>
    </xf>
    <xf numFmtId="0" fontId="7" fillId="0" borderId="14" xfId="2" applyFont="1" applyBorder="1" applyAlignment="1" applyProtection="1">
      <alignment horizontal="center"/>
      <protection locked="0"/>
    </xf>
    <xf numFmtId="0" fontId="7" fillId="0" borderId="8" xfId="0" applyFont="1" applyBorder="1" applyAlignment="1">
      <alignment horizontal="left" vertical="center"/>
    </xf>
    <xf numFmtId="0" fontId="7" fillId="6" borderId="24" xfId="0" applyFont="1" applyFill="1" applyBorder="1" applyAlignment="1">
      <alignment horizontal="left" vertical="center"/>
    </xf>
    <xf numFmtId="0" fontId="7" fillId="6" borderId="9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left"/>
    </xf>
    <xf numFmtId="0" fontId="7" fillId="0" borderId="19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" fontId="7" fillId="0" borderId="26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15" xfId="2" applyFont="1" applyBorder="1" applyAlignment="1" applyProtection="1">
      <alignment horizontal="center"/>
      <protection locked="0"/>
    </xf>
    <xf numFmtId="0" fontId="7" fillId="0" borderId="78" xfId="2" applyFont="1" applyBorder="1" applyAlignment="1" applyProtection="1">
      <alignment horizontal="center"/>
      <protection locked="0"/>
    </xf>
    <xf numFmtId="0" fontId="7" fillId="0" borderId="35" xfId="0" applyFont="1" applyBorder="1"/>
    <xf numFmtId="0" fontId="7" fillId="5" borderId="62" xfId="0" applyFont="1" applyFill="1" applyBorder="1"/>
    <xf numFmtId="1" fontId="7" fillId="5" borderId="62" xfId="0" applyNumberFormat="1" applyFont="1" applyFill="1" applyBorder="1" applyAlignment="1">
      <alignment horizontal="center"/>
    </xf>
    <xf numFmtId="0" fontId="9" fillId="0" borderId="57" xfId="0" applyFont="1" applyBorder="1"/>
    <xf numFmtId="0" fontId="9" fillId="3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/>
    <xf numFmtId="0" fontId="7" fillId="8" borderId="2" xfId="0" applyFont="1" applyFill="1" applyBorder="1"/>
    <xf numFmtId="0" fontId="7" fillId="8" borderId="2" xfId="0" applyFont="1" applyFill="1" applyBorder="1" applyAlignment="1">
      <alignment horizontal="center"/>
    </xf>
    <xf numFmtId="0" fontId="7" fillId="4" borderId="2" xfId="0" applyFont="1" applyFill="1" applyBorder="1"/>
    <xf numFmtId="0" fontId="7" fillId="4" borderId="0" xfId="0" applyFont="1" applyFill="1" applyAlignment="1">
      <alignment horizontal="center"/>
    </xf>
    <xf numFmtId="0" fontId="7" fillId="4" borderId="24" xfId="0" applyFont="1" applyFill="1" applyBorder="1"/>
    <xf numFmtId="0" fontId="7" fillId="4" borderId="28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0" borderId="22" xfId="0" applyFont="1" applyBorder="1"/>
    <xf numFmtId="0" fontId="9" fillId="0" borderId="8" xfId="0" applyFont="1" applyBorder="1"/>
    <xf numFmtId="1" fontId="9" fillId="0" borderId="12" xfId="0" applyNumberFormat="1" applyFont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8" fillId="0" borderId="79" xfId="2" applyFont="1" applyBorder="1" applyAlignment="1" applyProtection="1">
      <alignment horizontal="left"/>
      <protection locked="0"/>
    </xf>
    <xf numFmtId="0" fontId="8" fillId="0" borderId="2" xfId="2" applyFont="1" applyBorder="1" applyAlignment="1" applyProtection="1">
      <alignment horizontal="center"/>
      <protection locked="0"/>
    </xf>
    <xf numFmtId="0" fontId="7" fillId="5" borderId="8" xfId="2" applyFont="1" applyFill="1" applyBorder="1" applyAlignment="1" applyProtection="1">
      <alignment horizontal="left"/>
      <protection locked="0"/>
    </xf>
    <xf numFmtId="0" fontId="7" fillId="5" borderId="2" xfId="2" applyFont="1" applyFill="1" applyBorder="1" applyAlignment="1" applyProtection="1">
      <alignment horizontal="center"/>
      <protection locked="0"/>
    </xf>
    <xf numFmtId="0" fontId="8" fillId="0" borderId="10" xfId="2" applyFont="1" applyBorder="1" applyAlignment="1" applyProtection="1">
      <alignment horizontal="left"/>
      <protection locked="0"/>
    </xf>
    <xf numFmtId="0" fontId="8" fillId="0" borderId="14" xfId="2" applyFont="1" applyBorder="1" applyAlignment="1" applyProtection="1">
      <alignment horizontal="left"/>
      <protection locked="0"/>
    </xf>
    <xf numFmtId="0" fontId="7" fillId="0" borderId="62" xfId="2" applyFont="1" applyBorder="1" applyAlignment="1" applyProtection="1">
      <alignment horizontal="left"/>
      <protection locked="0"/>
    </xf>
    <xf numFmtId="0" fontId="7" fillId="0" borderId="40" xfId="2" applyFont="1" applyBorder="1" applyAlignment="1" applyProtection="1">
      <alignment horizontal="center"/>
      <protection locked="0"/>
    </xf>
    <xf numFmtId="0" fontId="7" fillId="4" borderId="39" xfId="2" applyFont="1" applyFill="1" applyBorder="1" applyAlignment="1" applyProtection="1">
      <alignment horizontal="center"/>
      <protection locked="0"/>
    </xf>
    <xf numFmtId="0" fontId="7" fillId="4" borderId="47" xfId="0" applyFont="1" applyFill="1" applyBorder="1" applyAlignment="1">
      <alignment horizontal="left"/>
    </xf>
    <xf numFmtId="1" fontId="9" fillId="0" borderId="62" xfId="0" applyNumberFormat="1" applyFont="1" applyBorder="1" applyAlignment="1">
      <alignment horizontal="center"/>
    </xf>
    <xf numFmtId="0" fontId="9" fillId="0" borderId="80" xfId="0" applyFont="1" applyBorder="1"/>
    <xf numFmtId="0" fontId="9" fillId="3" borderId="11" xfId="0" applyFont="1" applyFill="1" applyBorder="1" applyAlignment="1">
      <alignment horizontal="center"/>
    </xf>
    <xf numFmtId="0" fontId="8" fillId="0" borderId="8" xfId="2" applyFont="1" applyBorder="1" applyAlignment="1" applyProtection="1">
      <alignment horizontal="center" shrinkToFit="1"/>
      <protection locked="0"/>
    </xf>
    <xf numFmtId="0" fontId="8" fillId="5" borderId="8" xfId="4" applyFont="1" applyFill="1" applyBorder="1" applyAlignment="1" applyProtection="1">
      <alignment horizontal="left"/>
      <protection locked="0"/>
    </xf>
    <xf numFmtId="0" fontId="8" fillId="5" borderId="3" xfId="4" applyFont="1" applyFill="1" applyBorder="1" applyAlignment="1" applyProtection="1">
      <alignment horizontal="center"/>
      <protection locked="0"/>
    </xf>
    <xf numFmtId="0" fontId="7" fillId="5" borderId="13" xfId="2" applyFont="1" applyFill="1" applyBorder="1" applyAlignment="1" applyProtection="1">
      <alignment horizontal="center"/>
      <protection locked="0"/>
    </xf>
    <xf numFmtId="0" fontId="8" fillId="4" borderId="81" xfId="0" applyFont="1" applyFill="1" applyBorder="1" applyAlignment="1">
      <alignment horizontal="left"/>
    </xf>
    <xf numFmtId="0" fontId="9" fillId="0" borderId="72" xfId="0" applyFont="1" applyBorder="1"/>
    <xf numFmtId="0" fontId="8" fillId="0" borderId="12" xfId="2" applyFont="1" applyBorder="1" applyAlignment="1" applyProtection="1">
      <alignment horizontal="center" shrinkToFit="1"/>
      <protection locked="0"/>
    </xf>
    <xf numFmtId="0" fontId="8" fillId="0" borderId="12" xfId="2" applyFont="1" applyBorder="1" applyAlignment="1" applyProtection="1">
      <alignment horizontal="left"/>
      <protection locked="0"/>
    </xf>
    <xf numFmtId="0" fontId="8" fillId="0" borderId="12" xfId="2" applyFont="1" applyBorder="1" applyAlignment="1" applyProtection="1">
      <alignment horizontal="center"/>
      <protection locked="0"/>
    </xf>
    <xf numFmtId="0" fontId="7" fillId="0" borderId="11" xfId="2" applyFont="1" applyBorder="1" applyAlignment="1" applyProtection="1">
      <alignment horizontal="left"/>
      <protection locked="0"/>
    </xf>
    <xf numFmtId="0" fontId="8" fillId="0" borderId="6" xfId="4" applyFont="1" applyBorder="1" applyAlignment="1" applyProtection="1">
      <alignment horizontal="left"/>
      <protection locked="0"/>
    </xf>
    <xf numFmtId="0" fontId="8" fillId="0" borderId="15" xfId="4" applyFont="1" applyBorder="1" applyAlignment="1" applyProtection="1">
      <alignment horizontal="center"/>
      <protection locked="0"/>
    </xf>
    <xf numFmtId="0" fontId="8" fillId="0" borderId="11" xfId="2" applyFont="1" applyBorder="1" applyAlignment="1" applyProtection="1">
      <alignment horizontal="left"/>
      <protection locked="0"/>
    </xf>
    <xf numFmtId="0" fontId="8" fillId="4" borderId="49" xfId="0" applyFont="1" applyFill="1" applyBorder="1" applyAlignment="1">
      <alignment horizontal="left"/>
    </xf>
    <xf numFmtId="0" fontId="7" fillId="4" borderId="50" xfId="0" applyFont="1" applyFill="1" applyBorder="1" applyAlignment="1">
      <alignment horizontal="left"/>
    </xf>
    <xf numFmtId="0" fontId="9" fillId="0" borderId="16" xfId="0" applyFont="1" applyBorder="1" applyAlignment="1">
      <alignment horizontal="left" vertical="center"/>
    </xf>
    <xf numFmtId="0" fontId="9" fillId="6" borderId="82" xfId="0" applyFont="1" applyFill="1" applyBorder="1"/>
    <xf numFmtId="1" fontId="9" fillId="6" borderId="83" xfId="0" applyNumberFormat="1" applyFont="1" applyFill="1" applyBorder="1" applyAlignment="1">
      <alignment horizontal="center"/>
    </xf>
    <xf numFmtId="0" fontId="9" fillId="0" borderId="84" xfId="0" applyFont="1" applyBorder="1"/>
    <xf numFmtId="0" fontId="9" fillId="0" borderId="6" xfId="0" applyFont="1" applyBorder="1" applyAlignment="1">
      <alignment horizontal="left"/>
    </xf>
    <xf numFmtId="0" fontId="9" fillId="0" borderId="17" xfId="0" applyFont="1" applyBorder="1" applyAlignment="1">
      <alignment horizontal="center"/>
    </xf>
    <xf numFmtId="0" fontId="8" fillId="0" borderId="26" xfId="2" applyFont="1" applyBorder="1" applyAlignment="1" applyProtection="1">
      <alignment horizontal="left"/>
      <protection locked="0"/>
    </xf>
    <xf numFmtId="0" fontId="8" fillId="0" borderId="26" xfId="2" applyFont="1" applyBorder="1" applyAlignment="1" applyProtection="1">
      <alignment horizontal="center"/>
      <protection locked="0"/>
    </xf>
    <xf numFmtId="0" fontId="8" fillId="0" borderId="26" xfId="4" applyFont="1" applyBorder="1" applyAlignment="1" applyProtection="1">
      <alignment horizontal="left" vertical="center"/>
      <protection locked="0"/>
    </xf>
    <xf numFmtId="0" fontId="8" fillId="0" borderId="26" xfId="4" applyFont="1" applyBorder="1" applyAlignment="1" applyProtection="1">
      <alignment horizontal="center" vertical="center"/>
      <protection locked="0"/>
    </xf>
    <xf numFmtId="0" fontId="7" fillId="0" borderId="20" xfId="4" applyFont="1" applyBorder="1" applyAlignment="1" applyProtection="1">
      <alignment horizontal="left" vertical="center"/>
      <protection locked="0"/>
    </xf>
    <xf numFmtId="0" fontId="7" fillId="0" borderId="26" xfId="4" applyFont="1" applyBorder="1" applyAlignment="1" applyProtection="1">
      <alignment horizontal="center" vertical="center"/>
      <protection locked="0"/>
    </xf>
    <xf numFmtId="0" fontId="8" fillId="0" borderId="16" xfId="4" applyFont="1" applyBorder="1" applyAlignment="1" applyProtection="1">
      <alignment horizontal="left" vertical="center"/>
      <protection locked="0"/>
    </xf>
    <xf numFmtId="0" fontId="8" fillId="0" borderId="20" xfId="4" applyFont="1" applyBorder="1" applyAlignment="1" applyProtection="1">
      <alignment horizontal="center" vertical="center"/>
      <protection locked="0"/>
    </xf>
    <xf numFmtId="0" fontId="8" fillId="0" borderId="20" xfId="2" applyFont="1" applyBorder="1" applyAlignment="1" applyProtection="1">
      <alignment horizontal="left"/>
      <protection locked="0"/>
    </xf>
    <xf numFmtId="0" fontId="8" fillId="0" borderId="85" xfId="2" applyFont="1" applyBorder="1" applyAlignment="1" applyProtection="1">
      <alignment horizontal="center"/>
      <protection locked="0"/>
    </xf>
    <xf numFmtId="0" fontId="7" fillId="0" borderId="86" xfId="2" applyFont="1" applyBorder="1" applyAlignment="1" applyProtection="1">
      <alignment horizontal="left"/>
      <protection locked="0"/>
    </xf>
    <xf numFmtId="0" fontId="7" fillId="0" borderId="87" xfId="2" applyFont="1" applyBorder="1" applyAlignment="1" applyProtection="1">
      <alignment horizontal="center"/>
      <protection locked="0"/>
    </xf>
    <xf numFmtId="0" fontId="8" fillId="4" borderId="88" xfId="0" applyFont="1" applyFill="1" applyBorder="1" applyAlignment="1">
      <alignment horizontal="left"/>
    </xf>
    <xf numFmtId="0" fontId="7" fillId="4" borderId="85" xfId="0" applyFont="1" applyFill="1" applyBorder="1" applyAlignment="1">
      <alignment horizontal="left"/>
    </xf>
    <xf numFmtId="0" fontId="7" fillId="0" borderId="21" xfId="0" applyFont="1" applyBorder="1"/>
    <xf numFmtId="1" fontId="7" fillId="0" borderId="2" xfId="0" applyNumberFormat="1" applyFont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4" xfId="0" applyFont="1" applyBorder="1"/>
    <xf numFmtId="0" fontId="1" fillId="0" borderId="25" xfId="0" applyFont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4" xfId="0" applyFont="1" applyBorder="1"/>
    <xf numFmtId="1" fontId="9" fillId="0" borderId="4" xfId="0" applyNumberFormat="1" applyFont="1" applyBorder="1" applyAlignment="1">
      <alignment horizontal="center"/>
    </xf>
    <xf numFmtId="0" fontId="9" fillId="0" borderId="24" xfId="0" applyFont="1" applyBorder="1"/>
    <xf numFmtId="0" fontId="9" fillId="5" borderId="2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center"/>
    </xf>
    <xf numFmtId="0" fontId="7" fillId="0" borderId="12" xfId="4" applyFont="1" applyBorder="1"/>
    <xf numFmtId="0" fontId="7" fillId="0" borderId="12" xfId="4" applyFont="1" applyBorder="1" applyAlignment="1">
      <alignment horizontal="center"/>
    </xf>
    <xf numFmtId="0" fontId="7" fillId="0" borderId="10" xfId="4" applyFont="1" applyBorder="1"/>
    <xf numFmtId="0" fontId="8" fillId="4" borderId="8" xfId="2" applyFont="1" applyFill="1" applyBorder="1" applyAlignment="1" applyProtection="1">
      <alignment horizontal="left"/>
      <protection locked="0"/>
    </xf>
    <xf numFmtId="0" fontId="8" fillId="4" borderId="12" xfId="2" applyFont="1" applyFill="1" applyBorder="1" applyAlignment="1" applyProtection="1">
      <alignment horizontal="center"/>
      <protection locked="0"/>
    </xf>
    <xf numFmtId="0" fontId="8" fillId="4" borderId="12" xfId="1" applyFont="1" applyFill="1" applyBorder="1" applyProtection="1">
      <protection locked="0"/>
    </xf>
    <xf numFmtId="0" fontId="7" fillId="0" borderId="2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11" xfId="2" applyFont="1" applyBorder="1" applyAlignment="1" applyProtection="1">
      <alignment horizontal="center"/>
      <protection locked="0"/>
    </xf>
    <xf numFmtId="0" fontId="7" fillId="0" borderId="11" xfId="4" applyFont="1" applyBorder="1"/>
    <xf numFmtId="0" fontId="7" fillId="0" borderId="11" xfId="4" applyFont="1" applyBorder="1" applyAlignment="1">
      <alignment horizontal="center"/>
    </xf>
    <xf numFmtId="0" fontId="8" fillId="0" borderId="15" xfId="2" applyFont="1" applyBorder="1" applyAlignment="1" applyProtection="1">
      <alignment horizontal="center"/>
      <protection locked="0"/>
    </xf>
    <xf numFmtId="0" fontId="8" fillId="0" borderId="15" xfId="2" applyFont="1" applyBorder="1" applyAlignment="1" applyProtection="1">
      <alignment horizontal="left"/>
      <protection locked="0"/>
    </xf>
    <xf numFmtId="0" fontId="8" fillId="0" borderId="7" xfId="2" applyFont="1" applyBorder="1" applyAlignment="1" applyProtection="1">
      <alignment horizontal="center"/>
      <protection locked="0"/>
    </xf>
    <xf numFmtId="0" fontId="8" fillId="4" borderId="7" xfId="1" applyFont="1" applyFill="1" applyBorder="1" applyProtection="1">
      <protection locked="0"/>
    </xf>
    <xf numFmtId="0" fontId="9" fillId="3" borderId="6" xfId="0" applyFont="1" applyFill="1" applyBorder="1" applyAlignment="1">
      <alignment horizontal="left"/>
    </xf>
    <xf numFmtId="0" fontId="7" fillId="0" borderId="7" xfId="2" applyFont="1" applyBorder="1" applyAlignment="1" applyProtection="1">
      <alignment horizontal="center"/>
      <protection locked="0"/>
    </xf>
    <xf numFmtId="1" fontId="9" fillId="0" borderId="8" xfId="0" applyNumberFormat="1" applyFont="1" applyBorder="1" applyAlignment="1">
      <alignment horizontal="center"/>
    </xf>
    <xf numFmtId="0" fontId="9" fillId="3" borderId="3" xfId="0" applyFont="1" applyFill="1" applyBorder="1" applyAlignment="1">
      <alignment horizontal="left"/>
    </xf>
    <xf numFmtId="0" fontId="7" fillId="4" borderId="9" xfId="4" applyFont="1" applyFill="1" applyBorder="1"/>
    <xf numFmtId="0" fontId="7" fillId="4" borderId="9" xfId="4" applyFont="1" applyFill="1" applyBorder="1" applyAlignment="1">
      <alignment horizontal="center"/>
    </xf>
    <xf numFmtId="0" fontId="7" fillId="0" borderId="9" xfId="4" applyFont="1" applyBorder="1"/>
    <xf numFmtId="0" fontId="7" fillId="0" borderId="9" xfId="4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9" fillId="0" borderId="17" xfId="0" applyFont="1" applyBorder="1"/>
    <xf numFmtId="1" fontId="9" fillId="0" borderId="16" xfId="0" applyNumberFormat="1" applyFont="1" applyBorder="1" applyAlignment="1">
      <alignment horizontal="center"/>
    </xf>
    <xf numFmtId="0" fontId="9" fillId="0" borderId="89" xfId="0" applyFont="1" applyBorder="1"/>
    <xf numFmtId="0" fontId="9" fillId="3" borderId="16" xfId="0" applyFont="1" applyFill="1" applyBorder="1" applyAlignment="1">
      <alignment horizontal="left"/>
    </xf>
    <xf numFmtId="0" fontId="8" fillId="0" borderId="16" xfId="2" applyFont="1" applyBorder="1" applyAlignment="1" applyProtection="1">
      <alignment horizontal="left"/>
      <protection locked="0"/>
    </xf>
    <xf numFmtId="0" fontId="8" fillId="0" borderId="16" xfId="2" applyFont="1" applyBorder="1" applyAlignment="1" applyProtection="1">
      <alignment horizontal="center"/>
      <protection locked="0"/>
    </xf>
    <xf numFmtId="0" fontId="8" fillId="4" borderId="17" xfId="4" applyFont="1" applyFill="1" applyBorder="1" applyAlignment="1" applyProtection="1">
      <alignment horizontal="left" vertical="center"/>
      <protection locked="0"/>
    </xf>
    <xf numFmtId="0" fontId="8" fillId="4" borderId="32" xfId="4" applyFont="1" applyFill="1" applyBorder="1" applyAlignment="1" applyProtection="1">
      <alignment horizontal="center" vertical="center"/>
      <protection locked="0"/>
    </xf>
    <xf numFmtId="0" fontId="7" fillId="0" borderId="26" xfId="4" applyFont="1" applyBorder="1" applyAlignment="1" applyProtection="1">
      <alignment horizontal="left" vertical="center"/>
      <protection locked="0"/>
    </xf>
    <xf numFmtId="0" fontId="7" fillId="0" borderId="18" xfId="4" applyFont="1" applyBorder="1" applyAlignment="1" applyProtection="1">
      <alignment horizontal="center" vertical="center"/>
      <protection locked="0"/>
    </xf>
    <xf numFmtId="0" fontId="8" fillId="6" borderId="16" xfId="4" applyFont="1" applyFill="1" applyBorder="1" applyAlignment="1" applyProtection="1">
      <alignment horizontal="left" vertical="center"/>
      <protection locked="0"/>
    </xf>
    <xf numFmtId="0" fontId="8" fillId="6" borderId="17" xfId="4" applyFont="1" applyFill="1" applyBorder="1" applyAlignment="1" applyProtection="1">
      <alignment horizontal="center" vertical="center"/>
      <protection locked="0"/>
    </xf>
    <xf numFmtId="0" fontId="8" fillId="0" borderId="1" xfId="2" applyFont="1" applyBorder="1" applyAlignment="1" applyProtection="1">
      <alignment horizontal="center"/>
      <protection locked="0"/>
    </xf>
    <xf numFmtId="0" fontId="7" fillId="0" borderId="1" xfId="2" applyFont="1" applyBorder="1" applyAlignment="1" applyProtection="1">
      <alignment horizontal="left"/>
      <protection locked="0"/>
    </xf>
    <xf numFmtId="0" fontId="8" fillId="4" borderId="90" xfId="0" applyFont="1" applyFill="1" applyBorder="1" applyAlignment="1">
      <alignment horizontal="left"/>
    </xf>
    <xf numFmtId="0" fontId="7" fillId="4" borderId="89" xfId="0" applyFont="1" applyFill="1" applyBorder="1" applyAlignment="1">
      <alignment horizontal="left"/>
    </xf>
    <xf numFmtId="0" fontId="9" fillId="6" borderId="6" xfId="0" applyFont="1" applyFill="1" applyBorder="1"/>
    <xf numFmtId="1" fontId="9" fillId="6" borderId="6" xfId="0" applyNumberFormat="1" applyFont="1" applyFill="1" applyBorder="1" applyAlignment="1">
      <alignment horizontal="center"/>
    </xf>
    <xf numFmtId="0" fontId="8" fillId="0" borderId="6" xfId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3" fontId="9" fillId="0" borderId="10" xfId="1" applyNumberFormat="1" applyFont="1" applyBorder="1" applyAlignment="1">
      <alignment horizontal="center"/>
    </xf>
    <xf numFmtId="3" fontId="7" fillId="6" borderId="2" xfId="1" applyNumberFormat="1" applyFont="1" applyFill="1" applyBorder="1" applyAlignment="1">
      <alignment horizontal="left"/>
    </xf>
    <xf numFmtId="3" fontId="7" fillId="6" borderId="28" xfId="1" applyNumberFormat="1" applyFont="1" applyFill="1" applyBorder="1" applyAlignment="1">
      <alignment horizontal="center"/>
    </xf>
    <xf numFmtId="3" fontId="7" fillId="0" borderId="5" xfId="1" applyNumberFormat="1" applyFont="1" applyBorder="1" applyAlignment="1">
      <alignment horizontal="center"/>
    </xf>
    <xf numFmtId="0" fontId="8" fillId="4" borderId="44" xfId="1" applyFont="1" applyFill="1" applyBorder="1" applyProtection="1">
      <protection locked="0"/>
    </xf>
    <xf numFmtId="0" fontId="7" fillId="4" borderId="57" xfId="1" applyFont="1" applyFill="1" applyBorder="1" applyProtection="1">
      <protection locked="0"/>
    </xf>
    <xf numFmtId="0" fontId="9" fillId="3" borderId="7" xfId="0" applyFont="1" applyFill="1" applyBorder="1" applyAlignment="1">
      <alignment horizontal="center"/>
    </xf>
    <xf numFmtId="0" fontId="7" fillId="0" borderId="6" xfId="1" applyFont="1" applyBorder="1" applyAlignment="1">
      <alignment horizontal="left"/>
    </xf>
    <xf numFmtId="0" fontId="7" fillId="0" borderId="7" xfId="1" applyFont="1" applyBorder="1" applyAlignment="1">
      <alignment horizontal="center"/>
    </xf>
    <xf numFmtId="3" fontId="8" fillId="4" borderId="8" xfId="1" applyNumberFormat="1" applyFont="1" applyFill="1" applyBorder="1" applyAlignment="1">
      <alignment horizontal="left"/>
    </xf>
    <xf numFmtId="3" fontId="8" fillId="4" borderId="9" xfId="1" applyNumberFormat="1" applyFont="1" applyFill="1" applyBorder="1" applyAlignment="1">
      <alignment horizontal="center"/>
    </xf>
    <xf numFmtId="0" fontId="8" fillId="4" borderId="79" xfId="1" applyFont="1" applyFill="1" applyBorder="1" applyProtection="1">
      <protection locked="0"/>
    </xf>
    <xf numFmtId="0" fontId="9" fillId="0" borderId="26" xfId="0" applyFont="1" applyBorder="1"/>
    <xf numFmtId="0" fontId="9" fillId="3" borderId="12" xfId="0" applyFont="1" applyFill="1" applyBorder="1" applyAlignment="1">
      <alignment horizontal="center"/>
    </xf>
    <xf numFmtId="0" fontId="8" fillId="0" borderId="26" xfId="1" applyFont="1" applyBorder="1" applyAlignment="1">
      <alignment horizontal="left"/>
    </xf>
    <xf numFmtId="0" fontId="7" fillId="3" borderId="20" xfId="1" applyFont="1" applyFill="1" applyBorder="1" applyAlignment="1">
      <alignment horizontal="left"/>
    </xf>
    <xf numFmtId="0" fontId="7" fillId="3" borderId="26" xfId="1" applyFont="1" applyFill="1" applyBorder="1" applyAlignment="1">
      <alignment horizontal="center"/>
    </xf>
    <xf numFmtId="3" fontId="8" fillId="0" borderId="17" xfId="1" applyNumberFormat="1" applyFont="1" applyBorder="1" applyAlignment="1">
      <alignment horizontal="left"/>
    </xf>
    <xf numFmtId="3" fontId="8" fillId="0" borderId="32" xfId="1" applyNumberFormat="1" applyFont="1" applyBorder="1" applyAlignment="1">
      <alignment horizontal="center"/>
    </xf>
    <xf numFmtId="3" fontId="7" fillId="4" borderId="17" xfId="1" applyNumberFormat="1" applyFont="1" applyFill="1" applyBorder="1" applyAlignment="1">
      <alignment horizontal="left"/>
    </xf>
    <xf numFmtId="3" fontId="7" fillId="4" borderId="32" xfId="1" applyNumberFormat="1" applyFont="1" applyFill="1" applyBorder="1" applyAlignment="1">
      <alignment horizontal="center"/>
    </xf>
    <xf numFmtId="0" fontId="8" fillId="4" borderId="86" xfId="1" applyFont="1" applyFill="1" applyBorder="1" applyProtection="1">
      <protection locked="0"/>
    </xf>
    <xf numFmtId="0" fontId="7" fillId="4" borderId="53" xfId="1" applyFont="1" applyFill="1" applyBorder="1" applyProtection="1">
      <protection locked="0"/>
    </xf>
    <xf numFmtId="0" fontId="7" fillId="0" borderId="23" xfId="0" applyFont="1" applyBorder="1" applyAlignment="1">
      <alignment horizontal="left" vertical="center"/>
    </xf>
    <xf numFmtId="1" fontId="7" fillId="0" borderId="23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16" fontId="7" fillId="0" borderId="23" xfId="0" applyNumberFormat="1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3" fontId="7" fillId="0" borderId="54" xfId="1" applyNumberFormat="1" applyFont="1" applyBorder="1" applyAlignment="1">
      <alignment horizontal="left"/>
    </xf>
    <xf numFmtId="3" fontId="7" fillId="0" borderId="54" xfId="1" applyNumberFormat="1" applyFont="1" applyBorder="1" applyAlignment="1">
      <alignment horizontal="center"/>
    </xf>
    <xf numFmtId="0" fontId="7" fillId="0" borderId="15" xfId="0" applyFont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1" fontId="7" fillId="6" borderId="15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16" fontId="7" fillId="0" borderId="15" xfId="0" applyNumberFormat="1" applyFont="1" applyBorder="1" applyAlignment="1">
      <alignment horizontal="left" vertical="center"/>
    </xf>
    <xf numFmtId="16" fontId="7" fillId="0" borderId="14" xfId="0" applyNumberFormat="1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3" fontId="7" fillId="0" borderId="7" xfId="1" applyNumberFormat="1" applyFont="1" applyBorder="1" applyAlignment="1">
      <alignment horizontal="center"/>
    </xf>
    <xf numFmtId="0" fontId="9" fillId="0" borderId="18" xfId="0" applyFont="1" applyBorder="1" applyAlignment="1">
      <alignment horizontal="left" vertical="center"/>
    </xf>
    <xf numFmtId="1" fontId="7" fillId="0" borderId="20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16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left" vertical="center"/>
    </xf>
    <xf numFmtId="16" fontId="7" fillId="0" borderId="26" xfId="0" applyNumberFormat="1" applyFont="1" applyBorder="1" applyAlignment="1">
      <alignment horizontal="left" vertical="center"/>
    </xf>
    <xf numFmtId="3" fontId="7" fillId="0" borderId="18" xfId="1" applyNumberFormat="1" applyFont="1" applyBorder="1" applyAlignment="1">
      <alignment horizontal="left"/>
    </xf>
    <xf numFmtId="3" fontId="7" fillId="0" borderId="26" xfId="1" applyNumberFormat="1" applyFont="1" applyBorder="1" applyAlignment="1">
      <alignment horizontal="center"/>
    </xf>
    <xf numFmtId="49" fontId="7" fillId="0" borderId="0" xfId="3" quotePrefix="1" applyNumberFormat="1" applyFont="1" applyAlignment="1">
      <alignment horizontal="left"/>
    </xf>
    <xf numFmtId="49" fontId="8" fillId="0" borderId="0" xfId="0" quotePrefix="1" applyNumberFormat="1" applyFont="1" applyAlignment="1">
      <alignment horizontal="left" vertical="center"/>
    </xf>
    <xf numFmtId="49" fontId="8" fillId="0" borderId="0" xfId="0" quotePrefix="1" applyNumberFormat="1" applyFont="1" applyAlignment="1">
      <alignment horizontal="left"/>
    </xf>
    <xf numFmtId="49" fontId="7" fillId="0" borderId="25" xfId="0" quotePrefix="1" applyNumberFormat="1" applyFont="1" applyBorder="1"/>
    <xf numFmtId="49" fontId="7" fillId="0" borderId="0" xfId="0" quotePrefix="1" applyNumberFormat="1" applyFont="1"/>
    <xf numFmtId="49" fontId="7" fillId="0" borderId="1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/>
    </xf>
    <xf numFmtId="49" fontId="8" fillId="0" borderId="1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vertical="center"/>
    </xf>
    <xf numFmtId="49" fontId="7" fillId="0" borderId="23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left" vertical="center"/>
    </xf>
  </cellXfs>
  <cellStyles count="5">
    <cellStyle name="Normal" xfId="0" builtinId="0"/>
    <cellStyle name="Normal 10" xfId="1" xr:uid="{5E16D345-2A38-40F4-A7ED-3DCE3ED43515}"/>
    <cellStyle name="Normal 2" xfId="2" xr:uid="{FB0E3273-0AC5-4CB3-8737-4FE99BC80F74}"/>
    <cellStyle name="Normal 22" xfId="4" xr:uid="{8D76AADF-E981-4AF2-A579-7F7D775A9513}"/>
    <cellStyle name="Normal_CMD Tier Management Report 12-01-07" xfId="3" xr:uid="{7AFA91AB-65D2-4503-89C6-15015B1067F4}"/>
  </cellStyles>
  <dxfs count="25"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safitness-my.sharepoint.com/personal/shelby_ingram_vasafitness_com/Documents/Desktop/Other/Club%20Staffing%20Report%202.23.26.xlsx" TargetMode="External"/><Relationship Id="rId1" Type="http://schemas.openxmlformats.org/officeDocument/2006/relationships/externalLinkPath" Target="Club%20Staffing%20Report%202.23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 1 (CO, OK, NE)"/>
      <sheetName val="Region 2 (UT, AZ)"/>
      <sheetName val="Region 3 (IL, IN, WI)"/>
      <sheetName val="R1 Active Reqs"/>
      <sheetName val="R2 Active Reqs"/>
      <sheetName val="R3 Active Reqs"/>
      <sheetName val="In-Training"/>
      <sheetName val="Totals"/>
      <sheetName val="2024 ID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American Fork</v>
          </cell>
          <cell r="C2">
            <v>6418</v>
          </cell>
        </row>
        <row r="3">
          <cell r="B3" t="str">
            <v>Aurora Colfax (A2)</v>
          </cell>
          <cell r="C3">
            <v>1040</v>
          </cell>
        </row>
        <row r="4">
          <cell r="B4" t="str">
            <v>Aurora Quincy (A1)</v>
          </cell>
          <cell r="C4">
            <v>2872</v>
          </cell>
        </row>
        <row r="5">
          <cell r="B5" t="str">
            <v>AZ Business Memberships</v>
          </cell>
          <cell r="C5">
            <v>6683</v>
          </cell>
        </row>
        <row r="6">
          <cell r="B6" t="str">
            <v>Bountiful</v>
          </cell>
          <cell r="C6">
            <v>7697</v>
          </cell>
        </row>
        <row r="7">
          <cell r="B7" t="str">
            <v>Brickyard</v>
          </cell>
          <cell r="C7">
            <v>9178</v>
          </cell>
        </row>
        <row r="8">
          <cell r="B8" t="str">
            <v>Cedar City</v>
          </cell>
          <cell r="C8">
            <v>6228</v>
          </cell>
        </row>
        <row r="9">
          <cell r="B9" t="str">
            <v>Chandler</v>
          </cell>
          <cell r="C9">
            <v>1035</v>
          </cell>
        </row>
        <row r="10">
          <cell r="B10" t="str">
            <v>Clinton</v>
          </cell>
          <cell r="C10">
            <v>2546</v>
          </cell>
        </row>
        <row r="11">
          <cell r="B11" t="str">
            <v>CO Business Memberships</v>
          </cell>
          <cell r="C11">
            <v>6679</v>
          </cell>
        </row>
        <row r="12">
          <cell r="B12" t="str">
            <v>COS3 North Powers</v>
          </cell>
        </row>
        <row r="13">
          <cell r="B13" t="str">
            <v xml:space="preserve">COS1 Cheyenne </v>
          </cell>
          <cell r="C13">
            <v>2656</v>
          </cell>
        </row>
        <row r="14">
          <cell r="B14" t="str">
            <v xml:space="preserve">COS2 Fillmore/Nevada </v>
          </cell>
          <cell r="C14">
            <v>1039</v>
          </cell>
        </row>
        <row r="15">
          <cell r="B15" t="str">
            <v>Crestwood</v>
          </cell>
        </row>
        <row r="16">
          <cell r="B16" t="str">
            <v>Denver Jewell (DJS)</v>
          </cell>
          <cell r="C16">
            <v>3368</v>
          </cell>
        </row>
        <row r="17">
          <cell r="B17" t="str">
            <v>Draper</v>
          </cell>
          <cell r="C17">
            <v>3727</v>
          </cell>
        </row>
        <row r="18">
          <cell r="B18" t="str">
            <v>Glendale Heights</v>
          </cell>
          <cell r="C18">
            <v>1063</v>
          </cell>
        </row>
        <row r="19">
          <cell r="B19" t="str">
            <v>Greeley </v>
          </cell>
          <cell r="C19">
            <v>4733</v>
          </cell>
        </row>
        <row r="20">
          <cell r="B20" t="str">
            <v>Herriman</v>
          </cell>
          <cell r="C20">
            <v>1046</v>
          </cell>
        </row>
        <row r="21">
          <cell r="B21" t="str">
            <v>IL Business Memberships</v>
          </cell>
          <cell r="C21">
            <v>6685</v>
          </cell>
        </row>
        <row r="22">
          <cell r="B22" t="str">
            <v>IN Business Memberships</v>
          </cell>
          <cell r="C22">
            <v>6684</v>
          </cell>
        </row>
        <row r="23">
          <cell r="B23" t="str">
            <v>Indy Eagle Creek (2)</v>
          </cell>
          <cell r="C23">
            <v>1054</v>
          </cell>
        </row>
        <row r="24">
          <cell r="B24" t="str">
            <v>Indy Thompson (1)</v>
          </cell>
          <cell r="C24">
            <v>1044</v>
          </cell>
        </row>
        <row r="25">
          <cell r="B25" t="str">
            <v>Joliet</v>
          </cell>
          <cell r="C25">
            <v>1055</v>
          </cell>
        </row>
        <row r="26">
          <cell r="B26" t="str">
            <v>Kaysville</v>
          </cell>
          <cell r="C26">
            <v>1032</v>
          </cell>
        </row>
        <row r="27">
          <cell r="B27" t="str">
            <v>Lafayette</v>
          </cell>
          <cell r="C27">
            <v>1045</v>
          </cell>
        </row>
        <row r="28">
          <cell r="B28" t="str">
            <v>Layton</v>
          </cell>
          <cell r="C28">
            <v>5555</v>
          </cell>
        </row>
        <row r="29">
          <cell r="B29" t="str">
            <v>Lehi</v>
          </cell>
          <cell r="C29">
            <v>1060</v>
          </cell>
        </row>
        <row r="30">
          <cell r="B30" t="str">
            <v>Lincoln</v>
          </cell>
        </row>
        <row r="31">
          <cell r="B31" t="str">
            <v>Littleton</v>
          </cell>
          <cell r="C31">
            <v>1031</v>
          </cell>
        </row>
        <row r="32">
          <cell r="B32" t="str">
            <v>Magna/West Valley (Centennial)</v>
          </cell>
          <cell r="C32">
            <v>5420</v>
          </cell>
        </row>
        <row r="33">
          <cell r="B33" t="str">
            <v>Murray Van Winkle</v>
          </cell>
          <cell r="C33">
            <v>5228</v>
          </cell>
        </row>
        <row r="34">
          <cell r="B34" t="str">
            <v>NE Business Memberships</v>
          </cell>
          <cell r="C34">
            <v>6687</v>
          </cell>
        </row>
        <row r="35">
          <cell r="B35" t="str">
            <v>New Berlin</v>
          </cell>
          <cell r="C35">
            <v>1057</v>
          </cell>
        </row>
        <row r="36">
          <cell r="B36" t="str">
            <v>North Orem</v>
          </cell>
          <cell r="C36">
            <v>6701</v>
          </cell>
        </row>
        <row r="37">
          <cell r="B37" t="str">
            <v>Northbrook</v>
          </cell>
        </row>
        <row r="38">
          <cell r="B38" t="str">
            <v>Ogden</v>
          </cell>
          <cell r="C38">
            <v>6436</v>
          </cell>
        </row>
        <row r="39">
          <cell r="B39" t="str">
            <v>OK Business Memberships</v>
          </cell>
          <cell r="C39">
            <v>6682</v>
          </cell>
        </row>
        <row r="40">
          <cell r="B40" t="str">
            <v>OKC Penn</v>
          </cell>
          <cell r="C40">
            <v>1041</v>
          </cell>
        </row>
        <row r="41">
          <cell r="B41" t="str">
            <v>OKC Western</v>
          </cell>
          <cell r="C41">
            <v>1036</v>
          </cell>
        </row>
        <row r="42">
          <cell r="B42" t="str">
            <v>Omaha</v>
          </cell>
          <cell r="C42">
            <v>1065</v>
          </cell>
        </row>
        <row r="43">
          <cell r="B43" t="str">
            <v>Oswego</v>
          </cell>
          <cell r="C43">
            <v>1066</v>
          </cell>
        </row>
        <row r="44">
          <cell r="B44" t="str">
            <v>Phoenix 35th &amp; Northern</v>
          </cell>
          <cell r="C44">
            <v>1048</v>
          </cell>
        </row>
        <row r="45">
          <cell r="B45" t="str">
            <v>Phoenix East Thunderbird (2)</v>
          </cell>
          <cell r="C45">
            <v>1043</v>
          </cell>
        </row>
        <row r="46">
          <cell r="B46" t="str">
            <v xml:space="preserve">Phoenix West Thunderbird </v>
          </cell>
          <cell r="C46">
            <v>1033</v>
          </cell>
        </row>
        <row r="47">
          <cell r="B47" t="str">
            <v>Provo</v>
          </cell>
          <cell r="C47">
            <v>5773</v>
          </cell>
        </row>
        <row r="48">
          <cell r="B48" t="str">
            <v>Racine</v>
          </cell>
        </row>
        <row r="49">
          <cell r="B49" t="str">
            <v>Riverton</v>
          </cell>
          <cell r="C49">
            <v>7483</v>
          </cell>
        </row>
        <row r="50">
          <cell r="B50" t="str">
            <v>Sandy</v>
          </cell>
          <cell r="C50">
            <v>8912</v>
          </cell>
        </row>
        <row r="51">
          <cell r="B51" t="str">
            <v>Saratoga Springs</v>
          </cell>
          <cell r="C51">
            <v>7272</v>
          </cell>
        </row>
        <row r="52">
          <cell r="B52" t="str">
            <v>Smoky Hill Centennial</v>
          </cell>
          <cell r="C52">
            <v>1061</v>
          </cell>
        </row>
        <row r="53">
          <cell r="B53" t="str">
            <v>South Jordan</v>
          </cell>
          <cell r="C53">
            <v>7656</v>
          </cell>
        </row>
        <row r="54">
          <cell r="B54" t="str">
            <v>Spanish Fork</v>
          </cell>
          <cell r="C54">
            <v>6274</v>
          </cell>
        </row>
        <row r="55">
          <cell r="B55" t="str">
            <v>St. George</v>
          </cell>
          <cell r="C55">
            <v>6591</v>
          </cell>
        </row>
        <row r="56">
          <cell r="B56" t="str">
            <v>Taylorsville</v>
          </cell>
          <cell r="C56">
            <v>5420</v>
          </cell>
        </row>
        <row r="57">
          <cell r="B57" t="str">
            <v>Thornton </v>
          </cell>
          <cell r="C57">
            <v>8467</v>
          </cell>
        </row>
        <row r="58">
          <cell r="B58" t="str">
            <v>Tooele</v>
          </cell>
          <cell r="C58">
            <v>8663</v>
          </cell>
        </row>
        <row r="59">
          <cell r="B59" t="str">
            <v>Tucson</v>
          </cell>
          <cell r="C59">
            <v>1042</v>
          </cell>
        </row>
        <row r="60">
          <cell r="B60" t="str">
            <v>Tulsa</v>
          </cell>
          <cell r="C60">
            <v>1034</v>
          </cell>
        </row>
        <row r="61">
          <cell r="B61" t="str">
            <v>University</v>
          </cell>
          <cell r="C61">
            <v>5310</v>
          </cell>
        </row>
        <row r="62">
          <cell r="B62" t="str">
            <v>UT Business Memberships</v>
          </cell>
          <cell r="C62" t="str">
            <v>6677, 6678</v>
          </cell>
        </row>
        <row r="63">
          <cell r="B63" t="str">
            <v>Villa Park</v>
          </cell>
          <cell r="C63">
            <v>1056</v>
          </cell>
        </row>
        <row r="64">
          <cell r="B64" t="str">
            <v>West Jordan</v>
          </cell>
          <cell r="C64">
            <v>7741</v>
          </cell>
        </row>
        <row r="65">
          <cell r="B65" t="str">
            <v>West Valley</v>
          </cell>
          <cell r="C65">
            <v>8178</v>
          </cell>
        </row>
        <row r="66">
          <cell r="B66" t="str">
            <v>Westminster Church (1)</v>
          </cell>
          <cell r="C66">
            <v>9378</v>
          </cell>
        </row>
        <row r="67">
          <cell r="B67" t="str">
            <v>Westminster Federal (2)</v>
          </cell>
          <cell r="C67">
            <v>1047</v>
          </cell>
        </row>
        <row r="68">
          <cell r="B68" t="str">
            <v>Westminster Zuni (3)</v>
          </cell>
          <cell r="C68">
            <v>1064</v>
          </cell>
        </row>
        <row r="69">
          <cell r="B69" t="str">
            <v>Wheaton</v>
          </cell>
          <cell r="C69">
            <v>1067</v>
          </cell>
        </row>
        <row r="70">
          <cell r="B70" t="str">
            <v>WI Business Memberships</v>
          </cell>
          <cell r="C70">
            <v>6686</v>
          </cell>
        </row>
        <row r="71">
          <cell r="B71" t="str">
            <v>Willow Creek</v>
          </cell>
          <cell r="C71">
            <v>2368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6B13-32E0-4E8B-9299-E914507842E9}">
  <dimension ref="A1:W71"/>
  <sheetViews>
    <sheetView tabSelected="1" topLeftCell="I1" workbookViewId="0">
      <selection activeCell="D1" sqref="D1:D1048576"/>
    </sheetView>
  </sheetViews>
  <sheetFormatPr defaultRowHeight="15" x14ac:dyDescent="0.25"/>
  <cols>
    <col min="1" max="1" width="4" bestFit="1" customWidth="1"/>
    <col min="2" max="2" width="33.42578125" bestFit="1" customWidth="1"/>
    <col min="3" max="3" width="5" bestFit="1" customWidth="1"/>
    <col min="4" max="4" width="45.7109375" bestFit="1" customWidth="1"/>
    <col min="5" max="5" width="3.28515625" bestFit="1" customWidth="1"/>
    <col min="6" max="6" width="25" bestFit="1" customWidth="1"/>
    <col min="7" max="7" width="17.42578125" bestFit="1" customWidth="1"/>
    <col min="8" max="8" width="2.140625" bestFit="1" customWidth="1"/>
    <col min="9" max="9" width="39.7109375" bestFit="1" customWidth="1"/>
    <col min="10" max="10" width="3.28515625" bestFit="1" customWidth="1"/>
    <col min="11" max="11" width="34.85546875" bestFit="1" customWidth="1"/>
    <col min="12" max="12" width="3.28515625" bestFit="1" customWidth="1"/>
    <col min="13" max="13" width="17.5703125" bestFit="1" customWidth="1"/>
    <col min="14" max="14" width="2.140625" bestFit="1" customWidth="1"/>
    <col min="15" max="15" width="21.42578125" bestFit="1" customWidth="1"/>
    <col min="16" max="16" width="3.28515625" bestFit="1" customWidth="1"/>
    <col min="17" max="17" width="19.42578125" bestFit="1" customWidth="1"/>
    <col min="18" max="18" width="3.28515625" bestFit="1" customWidth="1"/>
    <col min="19" max="19" width="40.7109375" bestFit="1" customWidth="1"/>
    <col min="20" max="20" width="3.28515625" bestFit="1" customWidth="1"/>
    <col min="21" max="21" width="25" bestFit="1" customWidth="1"/>
    <col min="22" max="22" width="46.28515625" bestFit="1" customWidth="1"/>
    <col min="23" max="23" width="15.42578125" bestFit="1" customWidth="1"/>
  </cols>
  <sheetData>
    <row r="1" spans="1:2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3">
        <f>COUNTA(D2:D32)</f>
        <v>31</v>
      </c>
      <c r="F1" s="4" t="s">
        <v>4</v>
      </c>
      <c r="G1" s="4" t="s">
        <v>5</v>
      </c>
      <c r="H1" s="3">
        <f>COUNTA(G2:G32)</f>
        <v>3</v>
      </c>
      <c r="I1" s="2" t="s">
        <v>6</v>
      </c>
      <c r="J1" s="3">
        <f>COUNTA(I2:I32)</f>
        <v>31</v>
      </c>
      <c r="K1" s="5" t="s">
        <v>7</v>
      </c>
      <c r="L1" s="6">
        <f>COUNTA(K2:K32)</f>
        <v>29</v>
      </c>
      <c r="M1" s="2" t="s">
        <v>8</v>
      </c>
      <c r="N1" s="7">
        <f>COUNTA(M2:M32)</f>
        <v>7</v>
      </c>
      <c r="O1" s="2" t="s">
        <v>9</v>
      </c>
      <c r="P1" s="3">
        <f>COUNTA(O2:O32)</f>
        <v>31</v>
      </c>
      <c r="Q1" s="2" t="s">
        <v>10</v>
      </c>
      <c r="R1" s="3">
        <f>COUNTA(Q2:Q32)</f>
        <v>24</v>
      </c>
      <c r="S1" s="1" t="s">
        <v>11</v>
      </c>
      <c r="T1" s="3">
        <f>COUNTA(S2:S32)</f>
        <v>31</v>
      </c>
      <c r="U1" s="2" t="s">
        <v>12</v>
      </c>
      <c r="V1" s="2" t="s">
        <v>13</v>
      </c>
      <c r="W1" s="1" t="s">
        <v>14</v>
      </c>
    </row>
    <row r="2" spans="1:23" x14ac:dyDescent="0.25">
      <c r="A2" s="8" t="s">
        <v>15</v>
      </c>
      <c r="B2" s="9" t="s">
        <v>16</v>
      </c>
      <c r="C2" s="10">
        <v>9178</v>
      </c>
      <c r="D2" s="11" t="s">
        <v>17</v>
      </c>
      <c r="E2" s="12">
        <v>1</v>
      </c>
      <c r="F2" t="s">
        <v>18</v>
      </c>
      <c r="G2" s="13"/>
      <c r="H2" s="14"/>
      <c r="I2" s="15" t="s">
        <v>19</v>
      </c>
      <c r="J2" s="16">
        <v>1</v>
      </c>
      <c r="K2" s="14"/>
      <c r="L2" s="14"/>
      <c r="M2" s="17" t="s">
        <v>20</v>
      </c>
      <c r="N2" s="18">
        <v>1</v>
      </c>
      <c r="O2" s="19" t="s">
        <v>21</v>
      </c>
      <c r="P2" s="20">
        <v>1</v>
      </c>
      <c r="Q2" s="14"/>
      <c r="R2" s="14"/>
      <c r="S2" s="21" t="s">
        <v>22</v>
      </c>
      <c r="T2" s="22">
        <v>1</v>
      </c>
      <c r="U2" s="23" t="s">
        <v>23</v>
      </c>
      <c r="V2" t="s">
        <v>24</v>
      </c>
      <c r="W2" t="s">
        <v>25</v>
      </c>
    </row>
    <row r="3" spans="1:23" x14ac:dyDescent="0.25">
      <c r="A3" s="24" t="s">
        <v>26</v>
      </c>
      <c r="B3" s="25" t="s">
        <v>27</v>
      </c>
      <c r="C3" s="26">
        <v>8178</v>
      </c>
      <c r="D3" s="27" t="s">
        <v>28</v>
      </c>
      <c r="E3" s="28">
        <v>1</v>
      </c>
      <c r="F3" s="29" t="s">
        <v>29</v>
      </c>
      <c r="G3" s="30"/>
      <c r="H3" s="31"/>
      <c r="I3" s="32" t="s">
        <v>30</v>
      </c>
      <c r="J3" s="33">
        <v>1</v>
      </c>
      <c r="K3" s="32" t="s">
        <v>31</v>
      </c>
      <c r="L3" s="34">
        <v>1</v>
      </c>
      <c r="M3" s="35"/>
      <c r="N3" s="36"/>
      <c r="O3" s="32" t="s">
        <v>32</v>
      </c>
      <c r="P3" s="37">
        <v>1</v>
      </c>
      <c r="Q3" s="32" t="s">
        <v>33</v>
      </c>
      <c r="R3" s="33">
        <v>1</v>
      </c>
      <c r="S3" s="38" t="s">
        <v>34</v>
      </c>
      <c r="T3" s="39">
        <v>1</v>
      </c>
      <c r="U3" s="39" t="s">
        <v>35</v>
      </c>
      <c r="V3" s="40" t="s">
        <v>36</v>
      </c>
      <c r="W3" s="41" t="s">
        <v>37</v>
      </c>
    </row>
    <row r="4" spans="1:23" x14ac:dyDescent="0.25">
      <c r="A4" s="42" t="s">
        <v>38</v>
      </c>
      <c r="B4" s="25" t="s">
        <v>39</v>
      </c>
      <c r="C4" s="26">
        <v>6264</v>
      </c>
      <c r="D4" s="27" t="s">
        <v>40</v>
      </c>
      <c r="E4" s="28">
        <v>1</v>
      </c>
      <c r="F4" s="25" t="s">
        <v>41</v>
      </c>
      <c r="G4" s="30"/>
      <c r="H4" s="31"/>
      <c r="I4" s="32" t="s">
        <v>42</v>
      </c>
      <c r="J4" s="33">
        <v>1</v>
      </c>
      <c r="K4" s="32" t="s">
        <v>43</v>
      </c>
      <c r="L4" s="34">
        <v>1</v>
      </c>
      <c r="M4" s="43"/>
      <c r="N4" s="44"/>
      <c r="O4" s="32" t="s">
        <v>44</v>
      </c>
      <c r="P4" s="45">
        <v>1</v>
      </c>
      <c r="Q4" s="46"/>
      <c r="R4" s="47"/>
      <c r="S4" s="48" t="s">
        <v>45</v>
      </c>
      <c r="T4" s="49">
        <v>1</v>
      </c>
      <c r="U4" s="49" t="s">
        <v>46</v>
      </c>
      <c r="V4" s="50" t="s">
        <v>47</v>
      </c>
      <c r="W4" s="40" t="s">
        <v>48</v>
      </c>
    </row>
    <row r="5" spans="1:23" x14ac:dyDescent="0.25">
      <c r="A5" s="51" t="s">
        <v>49</v>
      </c>
      <c r="B5" s="52" t="s">
        <v>50</v>
      </c>
      <c r="C5" s="26">
        <v>5420</v>
      </c>
      <c r="D5" s="53" t="s">
        <v>51</v>
      </c>
      <c r="E5" s="54">
        <v>1</v>
      </c>
      <c r="F5" t="s">
        <v>52</v>
      </c>
      <c r="G5" s="55"/>
      <c r="H5" s="56"/>
      <c r="I5" s="15" t="s">
        <v>53</v>
      </c>
      <c r="J5" s="23">
        <v>1</v>
      </c>
      <c r="K5" t="s">
        <v>54</v>
      </c>
      <c r="L5" s="57">
        <v>1</v>
      </c>
      <c r="M5" s="58"/>
      <c r="N5" s="59"/>
      <c r="O5" s="60" t="s">
        <v>55</v>
      </c>
      <c r="P5" s="61">
        <v>1</v>
      </c>
      <c r="Q5" s="55"/>
      <c r="R5" s="62"/>
      <c r="S5" s="63" t="s">
        <v>56</v>
      </c>
      <c r="T5" s="64">
        <v>1</v>
      </c>
      <c r="U5" s="64" t="s">
        <v>57</v>
      </c>
      <c r="V5" t="s">
        <v>58</v>
      </c>
      <c r="W5" s="65" t="s">
        <v>59</v>
      </c>
    </row>
    <row r="6" spans="1:23" ht="15.75" thickBot="1" x14ac:dyDescent="0.3">
      <c r="A6" s="66" t="s">
        <v>60</v>
      </c>
      <c r="B6" s="67" t="s">
        <v>61</v>
      </c>
      <c r="C6" s="68">
        <v>8663</v>
      </c>
      <c r="D6" s="69" t="s">
        <v>62</v>
      </c>
      <c r="E6" s="70">
        <v>1</v>
      </c>
      <c r="F6" s="71" t="s">
        <v>63</v>
      </c>
      <c r="G6" s="72"/>
      <c r="H6" s="73"/>
      <c r="I6" s="74" t="s">
        <v>64</v>
      </c>
      <c r="J6" s="75">
        <v>1</v>
      </c>
      <c r="K6" s="71" t="s">
        <v>65</v>
      </c>
      <c r="L6" s="76">
        <v>1</v>
      </c>
      <c r="M6" s="73"/>
      <c r="N6" s="77"/>
      <c r="O6" s="78" t="s">
        <v>66</v>
      </c>
      <c r="P6" s="79">
        <v>1</v>
      </c>
      <c r="Q6" s="71" t="s">
        <v>67</v>
      </c>
      <c r="R6" s="80">
        <v>1</v>
      </c>
      <c r="S6" s="81" t="s">
        <v>68</v>
      </c>
      <c r="T6" s="82">
        <v>1</v>
      </c>
      <c r="U6" s="83" t="s">
        <v>69</v>
      </c>
      <c r="V6" s="71" t="s">
        <v>70</v>
      </c>
      <c r="W6" s="84" t="s">
        <v>71</v>
      </c>
    </row>
    <row r="7" spans="1:23" x14ac:dyDescent="0.25">
      <c r="A7" s="51" t="s">
        <v>72</v>
      </c>
      <c r="B7" s="27" t="s">
        <v>73</v>
      </c>
      <c r="C7" s="85">
        <v>6274</v>
      </c>
      <c r="D7" s="86" t="s">
        <v>74</v>
      </c>
      <c r="E7" s="87">
        <v>1</v>
      </c>
      <c r="F7" t="s">
        <v>75</v>
      </c>
      <c r="G7" s="88"/>
      <c r="H7" s="89"/>
      <c r="I7" s="90" t="s">
        <v>76</v>
      </c>
      <c r="J7" s="91">
        <v>1</v>
      </c>
      <c r="K7" t="s">
        <v>77</v>
      </c>
      <c r="L7" s="57">
        <v>1</v>
      </c>
      <c r="M7" t="s">
        <v>78</v>
      </c>
      <c r="N7" s="57">
        <v>1</v>
      </c>
      <c r="O7" t="s">
        <v>79</v>
      </c>
      <c r="P7" s="57">
        <v>1</v>
      </c>
      <c r="Q7" t="s">
        <v>80</v>
      </c>
      <c r="R7" s="57">
        <v>1</v>
      </c>
      <c r="S7" s="92" t="s">
        <v>81</v>
      </c>
      <c r="T7" s="23">
        <v>1</v>
      </c>
      <c r="U7" s="93" t="s">
        <v>82</v>
      </c>
      <c r="V7" t="s">
        <v>83</v>
      </c>
      <c r="W7" s="65" t="s">
        <v>84</v>
      </c>
    </row>
    <row r="8" spans="1:23" x14ac:dyDescent="0.25">
      <c r="A8" s="51" t="s">
        <v>85</v>
      </c>
      <c r="B8" s="52" t="s">
        <v>86</v>
      </c>
      <c r="C8" s="10">
        <f>VLOOKUP(B8,'[1]2024 ID List'!$B$2:$C$100,2,FALSE)</f>
        <v>5773</v>
      </c>
      <c r="D8" s="94" t="s">
        <v>87</v>
      </c>
      <c r="E8" s="12">
        <v>1</v>
      </c>
      <c r="F8" s="94" t="s">
        <v>88</v>
      </c>
      <c r="G8" s="95"/>
      <c r="H8" s="95"/>
      <c r="I8" s="96" t="s">
        <v>89</v>
      </c>
      <c r="J8" s="97">
        <v>1</v>
      </c>
      <c r="K8" s="14"/>
      <c r="L8" s="14"/>
      <c r="M8" s="95"/>
      <c r="N8" s="98"/>
      <c r="O8" s="94" t="s">
        <v>90</v>
      </c>
      <c r="P8" s="99">
        <v>1</v>
      </c>
      <c r="Q8" s="14"/>
      <c r="R8" s="14"/>
      <c r="S8" s="100" t="s">
        <v>91</v>
      </c>
      <c r="T8" s="101">
        <v>1</v>
      </c>
      <c r="U8" s="39" t="s">
        <v>92</v>
      </c>
      <c r="V8" s="102" t="s">
        <v>93</v>
      </c>
      <c r="W8" s="102" t="s">
        <v>94</v>
      </c>
    </row>
    <row r="9" spans="1:23" x14ac:dyDescent="0.25">
      <c r="A9" s="51" t="s">
        <v>95</v>
      </c>
      <c r="B9" s="52" t="s">
        <v>96</v>
      </c>
      <c r="C9" s="10">
        <f>VLOOKUP(B9,'[1]2024 ID List'!$B$2:$C$100,2,FALSE)</f>
        <v>5310</v>
      </c>
      <c r="D9" s="103" t="s">
        <v>97</v>
      </c>
      <c r="E9" s="104">
        <v>1</v>
      </c>
      <c r="F9" s="60" t="s">
        <v>98</v>
      </c>
      <c r="G9" s="60" t="s">
        <v>99</v>
      </c>
      <c r="H9" s="105">
        <v>1</v>
      </c>
      <c r="I9" s="17" t="s">
        <v>100</v>
      </c>
      <c r="J9" s="106">
        <v>1</v>
      </c>
      <c r="K9" s="107" t="s">
        <v>101</v>
      </c>
      <c r="L9" s="108">
        <v>1</v>
      </c>
      <c r="M9" s="14"/>
      <c r="N9" s="98"/>
      <c r="O9" s="15" t="s">
        <v>102</v>
      </c>
      <c r="P9" s="108">
        <v>1</v>
      </c>
      <c r="Q9" s="17" t="s">
        <v>103</v>
      </c>
      <c r="R9" s="108">
        <v>1</v>
      </c>
      <c r="S9" s="38" t="s">
        <v>104</v>
      </c>
      <c r="T9" s="109">
        <v>1</v>
      </c>
      <c r="U9" s="39" t="s">
        <v>105</v>
      </c>
      <c r="V9" t="s">
        <v>106</v>
      </c>
      <c r="W9" t="s">
        <v>107</v>
      </c>
    </row>
    <row r="10" spans="1:23" x14ac:dyDescent="0.25">
      <c r="A10" s="51" t="s">
        <v>108</v>
      </c>
      <c r="B10" s="52" t="s">
        <v>109</v>
      </c>
      <c r="C10" s="26">
        <v>6701</v>
      </c>
      <c r="D10" s="27" t="s">
        <v>110</v>
      </c>
      <c r="E10" s="28">
        <v>1</v>
      </c>
      <c r="F10" s="25" t="s">
        <v>111</v>
      </c>
      <c r="G10" s="110"/>
      <c r="H10" s="111"/>
      <c r="I10" s="32" t="s">
        <v>112</v>
      </c>
      <c r="J10" s="33">
        <v>1</v>
      </c>
      <c r="K10" s="32" t="s">
        <v>113</v>
      </c>
      <c r="L10" s="33">
        <v>1</v>
      </c>
      <c r="M10" s="32" t="s">
        <v>114</v>
      </c>
      <c r="N10" s="37">
        <v>1</v>
      </c>
      <c r="O10" s="32" t="s">
        <v>115</v>
      </c>
      <c r="P10" s="37">
        <v>1</v>
      </c>
      <c r="Q10" s="60" t="s">
        <v>116</v>
      </c>
      <c r="R10" s="105">
        <v>1</v>
      </c>
      <c r="S10" s="38" t="s">
        <v>117</v>
      </c>
      <c r="T10" s="39">
        <v>1</v>
      </c>
      <c r="U10" s="39" t="s">
        <v>118</v>
      </c>
      <c r="V10" s="41" t="s">
        <v>119</v>
      </c>
      <c r="W10" s="112" t="s">
        <v>120</v>
      </c>
    </row>
    <row r="11" spans="1:23" ht="15.75" thickBot="1" x14ac:dyDescent="0.3">
      <c r="A11" s="66" t="s">
        <v>121</v>
      </c>
      <c r="B11" s="113" t="s">
        <v>122</v>
      </c>
      <c r="C11" s="68">
        <v>6418</v>
      </c>
      <c r="D11" s="113" t="s">
        <v>123</v>
      </c>
      <c r="E11" s="114">
        <v>1</v>
      </c>
      <c r="F11" s="115" t="s">
        <v>124</v>
      </c>
      <c r="G11" s="31"/>
      <c r="H11" s="31"/>
      <c r="I11" s="116" t="s">
        <v>125</v>
      </c>
      <c r="J11" s="117">
        <v>1</v>
      </c>
      <c r="K11" s="118" t="s">
        <v>126</v>
      </c>
      <c r="L11" s="119">
        <v>1</v>
      </c>
      <c r="M11" s="120"/>
      <c r="N11" s="121"/>
      <c r="O11" s="118" t="s">
        <v>127</v>
      </c>
      <c r="P11" s="122">
        <v>1</v>
      </c>
      <c r="Q11" s="118" t="s">
        <v>128</v>
      </c>
      <c r="R11" s="33">
        <v>1</v>
      </c>
      <c r="S11" s="63" t="s">
        <v>129</v>
      </c>
      <c r="T11" s="109">
        <v>1</v>
      </c>
      <c r="U11" s="109" t="s">
        <v>130</v>
      </c>
      <c r="V11" s="123" t="s">
        <v>131</v>
      </c>
      <c r="W11" s="123" t="s">
        <v>132</v>
      </c>
    </row>
    <row r="12" spans="1:23" x14ac:dyDescent="0.25">
      <c r="A12" s="51" t="s">
        <v>133</v>
      </c>
      <c r="B12" s="25" t="s">
        <v>134</v>
      </c>
      <c r="C12" s="26">
        <v>3727</v>
      </c>
      <c r="D12" s="27" t="s">
        <v>135</v>
      </c>
      <c r="E12" s="28">
        <v>1</v>
      </c>
      <c r="F12" s="25" t="s">
        <v>136</v>
      </c>
      <c r="G12" s="124"/>
      <c r="H12" s="124"/>
      <c r="I12" s="125" t="s">
        <v>137</v>
      </c>
      <c r="J12" s="37">
        <v>1</v>
      </c>
      <c r="K12" s="32" t="s">
        <v>138</v>
      </c>
      <c r="L12" s="33">
        <v>1</v>
      </c>
      <c r="M12" s="126"/>
      <c r="N12" s="127"/>
      <c r="O12" s="32" t="s">
        <v>139</v>
      </c>
      <c r="P12" s="45">
        <v>1</v>
      </c>
      <c r="Q12" s="89"/>
      <c r="R12" s="128"/>
      <c r="S12" s="129" t="s">
        <v>140</v>
      </c>
      <c r="T12" s="130">
        <v>1</v>
      </c>
      <c r="U12" s="131" t="s">
        <v>141</v>
      </c>
      <c r="V12" s="132" t="s">
        <v>142</v>
      </c>
      <c r="W12" s="133" t="s">
        <v>143</v>
      </c>
    </row>
    <row r="13" spans="1:23" x14ac:dyDescent="0.25">
      <c r="A13" s="51" t="s">
        <v>144</v>
      </c>
      <c r="B13" s="134" t="s">
        <v>145</v>
      </c>
      <c r="C13" s="10">
        <v>7483</v>
      </c>
      <c r="D13" s="135" t="s">
        <v>146</v>
      </c>
      <c r="E13" s="136">
        <v>1</v>
      </c>
      <c r="F13" s="137" t="s">
        <v>147</v>
      </c>
      <c r="G13" s="138"/>
      <c r="H13" s="139"/>
      <c r="I13" s="140" t="s">
        <v>148</v>
      </c>
      <c r="J13" s="141">
        <v>1</v>
      </c>
      <c r="K13" s="142" t="s">
        <v>149</v>
      </c>
      <c r="L13" s="143">
        <v>1</v>
      </c>
      <c r="M13" s="144"/>
      <c r="N13" s="145"/>
      <c r="O13" s="140" t="s">
        <v>150</v>
      </c>
      <c r="P13" s="146">
        <v>1</v>
      </c>
      <c r="Q13" s="147" t="s">
        <v>151</v>
      </c>
      <c r="R13" s="146">
        <v>1</v>
      </c>
      <c r="S13" s="148" t="s">
        <v>152</v>
      </c>
      <c r="T13" s="149">
        <v>1</v>
      </c>
      <c r="U13" s="150" t="s">
        <v>153</v>
      </c>
      <c r="V13" s="151" t="s">
        <v>154</v>
      </c>
      <c r="W13" s="137" t="s">
        <v>155</v>
      </c>
    </row>
    <row r="14" spans="1:23" x14ac:dyDescent="0.25">
      <c r="A14" s="51" t="s">
        <v>156</v>
      </c>
      <c r="B14" s="134" t="s">
        <v>157</v>
      </c>
      <c r="C14" s="10">
        <v>1046</v>
      </c>
      <c r="D14" s="152" t="s">
        <v>158</v>
      </c>
      <c r="E14" s="153">
        <v>1</v>
      </c>
      <c r="F14" s="137" t="s">
        <v>159</v>
      </c>
      <c r="G14" s="138"/>
      <c r="H14" s="154"/>
      <c r="I14" s="155" t="s">
        <v>160</v>
      </c>
      <c r="J14" s="156">
        <v>1</v>
      </c>
      <c r="K14" s="157" t="s">
        <v>161</v>
      </c>
      <c r="L14" s="158">
        <v>1</v>
      </c>
      <c r="M14" s="159"/>
      <c r="N14" s="160"/>
      <c r="O14" s="161" t="s">
        <v>162</v>
      </c>
      <c r="P14" s="162">
        <v>1</v>
      </c>
      <c r="Q14" s="152" t="s">
        <v>163</v>
      </c>
      <c r="R14" s="163">
        <v>1</v>
      </c>
      <c r="S14" t="s">
        <v>164</v>
      </c>
      <c r="T14" s="150">
        <v>1</v>
      </c>
      <c r="U14" s="150" t="s">
        <v>165</v>
      </c>
      <c r="V14" s="151" t="s">
        <v>166</v>
      </c>
      <c r="W14" s="137" t="s">
        <v>167</v>
      </c>
    </row>
    <row r="15" spans="1:23" x14ac:dyDescent="0.25">
      <c r="A15" s="164" t="s">
        <v>168</v>
      </c>
      <c r="B15" s="25" t="s">
        <v>169</v>
      </c>
      <c r="C15" s="10">
        <v>7656</v>
      </c>
      <c r="D15" s="165" t="s">
        <v>170</v>
      </c>
      <c r="E15" s="28">
        <v>1</v>
      </c>
      <c r="F15" s="9" t="s">
        <v>171</v>
      </c>
      <c r="G15" s="166"/>
      <c r="H15" s="167"/>
      <c r="I15" s="168" t="s">
        <v>172</v>
      </c>
      <c r="J15" s="169">
        <v>1</v>
      </c>
      <c r="K15" s="170" t="s">
        <v>173</v>
      </c>
      <c r="L15" s="171">
        <v>1</v>
      </c>
      <c r="M15" s="172"/>
      <c r="N15" s="173"/>
      <c r="O15" s="170" t="s">
        <v>174</v>
      </c>
      <c r="P15" s="174">
        <v>1</v>
      </c>
      <c r="Q15" s="60" t="s">
        <v>175</v>
      </c>
      <c r="R15" s="105">
        <v>1</v>
      </c>
      <c r="S15" s="102" t="s">
        <v>176</v>
      </c>
      <c r="T15" s="175">
        <v>1</v>
      </c>
      <c r="U15" s="20" t="s">
        <v>177</v>
      </c>
      <c r="V15" s="9" t="s">
        <v>178</v>
      </c>
      <c r="W15" s="176" t="s">
        <v>179</v>
      </c>
    </row>
    <row r="16" spans="1:23" ht="15.75" thickBot="1" x14ac:dyDescent="0.3">
      <c r="A16" s="177" t="s">
        <v>180</v>
      </c>
      <c r="B16" s="178" t="s">
        <v>181</v>
      </c>
      <c r="C16" s="179">
        <v>7741</v>
      </c>
      <c r="D16" s="180" t="s">
        <v>182</v>
      </c>
      <c r="E16" s="181">
        <v>1</v>
      </c>
      <c r="F16" s="180" t="s">
        <v>183</v>
      </c>
      <c r="G16" s="182"/>
      <c r="H16" s="182"/>
      <c r="I16" s="180" t="s">
        <v>184</v>
      </c>
      <c r="J16" s="183">
        <v>1</v>
      </c>
      <c r="K16" s="184" t="s">
        <v>185</v>
      </c>
      <c r="L16" s="114">
        <v>1</v>
      </c>
      <c r="M16" s="185"/>
      <c r="N16" s="186"/>
      <c r="O16" s="184" t="s">
        <v>186</v>
      </c>
      <c r="P16" s="117">
        <v>1</v>
      </c>
      <c r="Q16" s="187" t="s">
        <v>187</v>
      </c>
      <c r="R16" s="188">
        <v>1</v>
      </c>
      <c r="S16" s="189" t="s">
        <v>188</v>
      </c>
      <c r="T16" s="190">
        <v>1</v>
      </c>
      <c r="U16" s="76" t="s">
        <v>189</v>
      </c>
      <c r="V16" s="178" t="s">
        <v>190</v>
      </c>
      <c r="W16" s="178" t="s">
        <v>191</v>
      </c>
    </row>
    <row r="17" spans="1:23" x14ac:dyDescent="0.25">
      <c r="A17" s="51" t="s">
        <v>192</v>
      </c>
      <c r="B17" s="9" t="s">
        <v>193</v>
      </c>
      <c r="C17" s="10">
        <f>VLOOKUP(B17,'[1]2024 ID List'!$B$2:$C$100,2,FALSE)</f>
        <v>5228</v>
      </c>
      <c r="D17" s="11" t="s">
        <v>194</v>
      </c>
      <c r="E17" s="108">
        <v>1</v>
      </c>
      <c r="F17" t="s">
        <v>195</v>
      </c>
      <c r="G17" s="191"/>
      <c r="H17" s="192"/>
      <c r="I17" s="11" t="s">
        <v>196</v>
      </c>
      <c r="J17" s="16">
        <v>1</v>
      </c>
      <c r="K17" s="17" t="s">
        <v>197</v>
      </c>
      <c r="L17" s="193">
        <v>1</v>
      </c>
      <c r="M17" s="194"/>
      <c r="N17" s="195"/>
      <c r="O17" s="196" t="s">
        <v>198</v>
      </c>
      <c r="P17" s="18">
        <v>1</v>
      </c>
      <c r="Q17" s="197" t="s">
        <v>199</v>
      </c>
      <c r="R17" s="104">
        <v>1</v>
      </c>
      <c r="S17" s="17" t="s">
        <v>200</v>
      </c>
      <c r="T17" s="198">
        <v>1</v>
      </c>
      <c r="U17" s="198" t="s">
        <v>201</v>
      </c>
      <c r="V17" t="s">
        <v>202</v>
      </c>
      <c r="W17" t="s">
        <v>203</v>
      </c>
    </row>
    <row r="18" spans="1:23" x14ac:dyDescent="0.25">
      <c r="A18" s="51" t="s">
        <v>204</v>
      </c>
      <c r="B18" s="199" t="s">
        <v>205</v>
      </c>
      <c r="C18" s="10">
        <f>VLOOKUP(B18,'[1]2024 ID List'!$B$2:$C$100,2,FALSE)</f>
        <v>8912</v>
      </c>
      <c r="D18" s="200" t="s">
        <v>206</v>
      </c>
      <c r="E18" s="108">
        <v>1</v>
      </c>
      <c r="F18" s="102" t="s">
        <v>207</v>
      </c>
      <c r="G18" s="58"/>
      <c r="H18" s="191"/>
      <c r="I18" s="201" t="s">
        <v>208</v>
      </c>
      <c r="J18" s="202">
        <v>1</v>
      </c>
      <c r="K18" s="196" t="s">
        <v>209</v>
      </c>
      <c r="L18" s="193">
        <v>1</v>
      </c>
      <c r="M18" s="17" t="s">
        <v>210</v>
      </c>
      <c r="N18" s="18">
        <v>1</v>
      </c>
      <c r="O18" s="17" t="s">
        <v>211</v>
      </c>
      <c r="P18" s="18">
        <v>1</v>
      </c>
      <c r="Q18" s="107" t="s">
        <v>212</v>
      </c>
      <c r="R18" s="108">
        <v>1</v>
      </c>
      <c r="S18" s="19" t="s">
        <v>213</v>
      </c>
      <c r="T18" s="175">
        <v>1</v>
      </c>
      <c r="U18" s="203" t="s">
        <v>214</v>
      </c>
      <c r="V18" s="102" t="s">
        <v>215</v>
      </c>
      <c r="W18" s="102" t="s">
        <v>216</v>
      </c>
    </row>
    <row r="19" spans="1:23" x14ac:dyDescent="0.25">
      <c r="A19" s="51" t="s">
        <v>217</v>
      </c>
      <c r="B19" s="9" t="s">
        <v>218</v>
      </c>
      <c r="C19" s="26">
        <v>1060</v>
      </c>
      <c r="D19" s="204" t="s">
        <v>219</v>
      </c>
      <c r="E19" s="205">
        <v>1</v>
      </c>
      <c r="F19" s="9" t="s">
        <v>220</v>
      </c>
      <c r="G19" s="85" t="s">
        <v>221</v>
      </c>
      <c r="H19" s="206">
        <v>1</v>
      </c>
      <c r="I19" s="207" t="s">
        <v>222</v>
      </c>
      <c r="J19" s="208">
        <v>0</v>
      </c>
      <c r="K19" s="15" t="s">
        <v>223</v>
      </c>
      <c r="L19" s="209">
        <v>1</v>
      </c>
      <c r="M19" s="210"/>
      <c r="N19" s="211"/>
      <c r="O19" s="15" t="s">
        <v>224</v>
      </c>
      <c r="P19" s="54">
        <v>1</v>
      </c>
      <c r="Q19" s="212" t="s">
        <v>225</v>
      </c>
      <c r="R19" s="205">
        <v>1</v>
      </c>
      <c r="S19" s="213" t="s">
        <v>226</v>
      </c>
      <c r="T19" s="214">
        <v>0</v>
      </c>
      <c r="U19" s="57"/>
      <c r="V19" t="s">
        <v>227</v>
      </c>
      <c r="W19" t="s">
        <v>228</v>
      </c>
    </row>
    <row r="20" spans="1:23" x14ac:dyDescent="0.25">
      <c r="A20" s="51" t="s">
        <v>229</v>
      </c>
      <c r="B20" s="9" t="s">
        <v>230</v>
      </c>
      <c r="C20" s="26">
        <v>7272</v>
      </c>
      <c r="D20" s="204" t="s">
        <v>231</v>
      </c>
      <c r="E20" s="205">
        <v>1</v>
      </c>
      <c r="F20" s="9" t="s">
        <v>232</v>
      </c>
      <c r="G20" s="85" t="s">
        <v>233</v>
      </c>
      <c r="H20" s="206">
        <v>1</v>
      </c>
      <c r="I20" s="215" t="s">
        <v>234</v>
      </c>
      <c r="J20" s="216">
        <v>1</v>
      </c>
      <c r="K20" s="217" t="s">
        <v>235</v>
      </c>
      <c r="L20" s="209">
        <v>1</v>
      </c>
      <c r="M20" s="217" t="s">
        <v>236</v>
      </c>
      <c r="N20" s="54">
        <v>1</v>
      </c>
      <c r="O20" s="218" t="s">
        <v>237</v>
      </c>
      <c r="P20" s="219">
        <v>1</v>
      </c>
      <c r="Q20" s="212" t="s">
        <v>238</v>
      </c>
      <c r="R20" s="205">
        <v>1</v>
      </c>
      <c r="S20" s="220" t="s">
        <v>239</v>
      </c>
      <c r="T20" s="205">
        <v>1</v>
      </c>
      <c r="U20" s="57" t="s">
        <v>240</v>
      </c>
      <c r="V20" t="s">
        <v>241</v>
      </c>
      <c r="W20" t="s">
        <v>242</v>
      </c>
    </row>
    <row r="21" spans="1:23" x14ac:dyDescent="0.25">
      <c r="A21" s="221" t="s">
        <v>243</v>
      </c>
      <c r="B21" s="170" t="s">
        <v>244</v>
      </c>
      <c r="C21" s="10">
        <v>6228</v>
      </c>
      <c r="D21" s="222" t="s">
        <v>245</v>
      </c>
      <c r="E21" s="223">
        <v>1</v>
      </c>
      <c r="F21" t="s">
        <v>246</v>
      </c>
      <c r="G21" s="191"/>
      <c r="H21" s="46"/>
      <c r="I21" s="94" t="s">
        <v>247</v>
      </c>
      <c r="J21" s="106">
        <v>1</v>
      </c>
      <c r="K21" s="15" t="s">
        <v>248</v>
      </c>
      <c r="L21" s="54">
        <v>1</v>
      </c>
      <c r="M21" s="191"/>
      <c r="N21" s="62"/>
      <c r="O21" s="11" t="s">
        <v>249</v>
      </c>
      <c r="P21" s="205">
        <v>1</v>
      </c>
      <c r="Q21" s="191"/>
      <c r="R21" s="224"/>
      <c r="S21" t="s">
        <v>250</v>
      </c>
      <c r="T21" s="57">
        <v>1</v>
      </c>
      <c r="U21" s="57" t="s">
        <v>251</v>
      </c>
      <c r="V21" t="s">
        <v>252</v>
      </c>
      <c r="W21" t="s">
        <v>253</v>
      </c>
    </row>
    <row r="22" spans="1:23" ht="15.75" thickBot="1" x14ac:dyDescent="0.3">
      <c r="A22" s="225" t="s">
        <v>254</v>
      </c>
      <c r="B22" s="226" t="s">
        <v>255</v>
      </c>
      <c r="C22" s="68">
        <v>6591</v>
      </c>
      <c r="D22" s="227" t="s">
        <v>256</v>
      </c>
      <c r="E22" s="228">
        <v>1</v>
      </c>
      <c r="F22" s="229" t="s">
        <v>257</v>
      </c>
      <c r="G22" s="230"/>
      <c r="H22" s="231"/>
      <c r="I22" s="232" t="s">
        <v>258</v>
      </c>
      <c r="J22" s="233">
        <v>1</v>
      </c>
      <c r="K22" s="226" t="s">
        <v>259</v>
      </c>
      <c r="L22" s="234">
        <v>1</v>
      </c>
      <c r="M22" s="235"/>
      <c r="N22" s="236"/>
      <c r="O22" s="237" t="s">
        <v>260</v>
      </c>
      <c r="P22" s="83">
        <v>1</v>
      </c>
      <c r="Q22" s="238" t="s">
        <v>261</v>
      </c>
      <c r="R22" s="239">
        <v>1</v>
      </c>
      <c r="S22" s="240" t="s">
        <v>262</v>
      </c>
      <c r="T22" s="241">
        <v>0</v>
      </c>
      <c r="U22" s="242"/>
      <c r="V22" s="243" t="s">
        <v>263</v>
      </c>
      <c r="W22" s="244" t="s">
        <v>264</v>
      </c>
    </row>
    <row r="23" spans="1:23" x14ac:dyDescent="0.25">
      <c r="A23" s="245" t="s">
        <v>265</v>
      </c>
      <c r="B23" s="52" t="s">
        <v>266</v>
      </c>
      <c r="C23" s="10">
        <v>1048</v>
      </c>
      <c r="D23" s="60" t="s">
        <v>267</v>
      </c>
      <c r="E23" s="12">
        <v>1</v>
      </c>
      <c r="F23" t="s">
        <v>268</v>
      </c>
      <c r="G23" s="88"/>
      <c r="H23" s="246"/>
      <c r="I23" s="247" t="s">
        <v>269</v>
      </c>
      <c r="J23" s="248">
        <v>1</v>
      </c>
      <c r="K23" s="249" t="s">
        <v>270</v>
      </c>
      <c r="L23" s="250">
        <v>1</v>
      </c>
      <c r="M23" s="251"/>
      <c r="N23" s="252"/>
      <c r="O23" s="249" t="s">
        <v>271</v>
      </c>
      <c r="P23" s="253">
        <v>1</v>
      </c>
      <c r="Q23" s="38" t="s">
        <v>272</v>
      </c>
      <c r="R23" s="250">
        <v>1</v>
      </c>
      <c r="S23" s="254" t="s">
        <v>273</v>
      </c>
      <c r="T23" s="23">
        <v>1</v>
      </c>
      <c r="U23" s="23" t="s">
        <v>274</v>
      </c>
      <c r="V23" s="255" t="s">
        <v>275</v>
      </c>
      <c r="W23" s="256" t="s">
        <v>276</v>
      </c>
    </row>
    <row r="24" spans="1:23" x14ac:dyDescent="0.25">
      <c r="A24" s="42" t="s">
        <v>277</v>
      </c>
      <c r="B24" t="s">
        <v>278</v>
      </c>
      <c r="C24" s="10">
        <v>1043</v>
      </c>
      <c r="D24" s="60" t="s">
        <v>279</v>
      </c>
      <c r="E24" s="18">
        <v>1</v>
      </c>
      <c r="F24" t="s">
        <v>280</v>
      </c>
      <c r="G24" s="14"/>
      <c r="H24" s="46"/>
      <c r="I24" s="94" t="s">
        <v>281</v>
      </c>
      <c r="J24" s="257">
        <v>1</v>
      </c>
      <c r="K24" s="11" t="s">
        <v>282</v>
      </c>
      <c r="L24" s="257">
        <v>1</v>
      </c>
      <c r="M24" s="191"/>
      <c r="N24" s="62"/>
      <c r="O24" s="11" t="s">
        <v>283</v>
      </c>
      <c r="P24" s="108">
        <v>1</v>
      </c>
      <c r="Q24" s="11" t="s">
        <v>284</v>
      </c>
      <c r="R24" s="18">
        <v>1</v>
      </c>
      <c r="S24" s="11" t="s">
        <v>285</v>
      </c>
      <c r="T24" s="57">
        <v>1</v>
      </c>
      <c r="U24" s="57" t="s">
        <v>286</v>
      </c>
      <c r="V24" t="s">
        <v>287</v>
      </c>
      <c r="W24" t="s">
        <v>288</v>
      </c>
    </row>
    <row r="25" spans="1:23" x14ac:dyDescent="0.25">
      <c r="A25" s="42" t="s">
        <v>289</v>
      </c>
      <c r="B25" t="s">
        <v>290</v>
      </c>
      <c r="C25" s="10">
        <v>1033</v>
      </c>
      <c r="D25" s="94" t="s">
        <v>291</v>
      </c>
      <c r="E25" s="18">
        <v>1</v>
      </c>
      <c r="F25" t="s">
        <v>292</v>
      </c>
      <c r="G25" s="258"/>
      <c r="H25" s="192"/>
      <c r="I25" s="11" t="s">
        <v>293</v>
      </c>
      <c r="J25" s="257">
        <v>1</v>
      </c>
      <c r="K25" s="94" t="s">
        <v>294</v>
      </c>
      <c r="L25" s="257">
        <v>1</v>
      </c>
      <c r="M25" s="259"/>
      <c r="N25" s="260"/>
      <c r="O25" s="261" t="s">
        <v>295</v>
      </c>
      <c r="P25" s="104">
        <v>1</v>
      </c>
      <c r="Q25" s="11" t="s">
        <v>296</v>
      </c>
      <c r="R25" s="18">
        <v>1</v>
      </c>
      <c r="S25" s="11" t="s">
        <v>297</v>
      </c>
      <c r="T25" s="57">
        <v>1</v>
      </c>
      <c r="U25" s="57" t="s">
        <v>298</v>
      </c>
      <c r="V25" s="102" t="s">
        <v>299</v>
      </c>
      <c r="W25" t="s">
        <v>300</v>
      </c>
    </row>
    <row r="26" spans="1:23" x14ac:dyDescent="0.25">
      <c r="A26" s="51" t="s">
        <v>301</v>
      </c>
      <c r="B26" s="199" t="s">
        <v>302</v>
      </c>
      <c r="C26" s="10">
        <f>VLOOKUP(B26,'[1]2024 ID List'!$B$2:$C$100,2,FALSE)</f>
        <v>1042</v>
      </c>
      <c r="D26" s="11" t="s">
        <v>303</v>
      </c>
      <c r="E26" s="18">
        <v>1</v>
      </c>
      <c r="F26" s="102" t="s">
        <v>304</v>
      </c>
      <c r="G26" s="192"/>
      <c r="H26" s="262"/>
      <c r="I26" s="201" t="s">
        <v>305</v>
      </c>
      <c r="J26" s="263">
        <v>0</v>
      </c>
      <c r="K26" s="11" t="s">
        <v>306</v>
      </c>
      <c r="L26" s="18">
        <v>1</v>
      </c>
      <c r="M26" s="264"/>
      <c r="N26" s="265"/>
      <c r="O26" s="11" t="s">
        <v>307</v>
      </c>
      <c r="P26" s="108">
        <v>1</v>
      </c>
      <c r="Q26" s="11" t="s">
        <v>308</v>
      </c>
      <c r="R26" s="18">
        <v>1</v>
      </c>
      <c r="S26" s="102" t="s">
        <v>309</v>
      </c>
      <c r="T26" s="57">
        <v>1</v>
      </c>
      <c r="U26" s="57" t="s">
        <v>310</v>
      </c>
      <c r="V26" t="s">
        <v>311</v>
      </c>
      <c r="W26" t="s">
        <v>312</v>
      </c>
    </row>
    <row r="27" spans="1:23" ht="15.75" thickBot="1" x14ac:dyDescent="0.3">
      <c r="A27" s="66" t="s">
        <v>313</v>
      </c>
      <c r="B27" s="266" t="s">
        <v>314</v>
      </c>
      <c r="C27" s="179">
        <v>1035</v>
      </c>
      <c r="D27" s="267" t="s">
        <v>315</v>
      </c>
      <c r="E27" s="70">
        <v>1</v>
      </c>
      <c r="F27" s="74" t="s">
        <v>316</v>
      </c>
      <c r="G27" s="268"/>
      <c r="H27" s="269"/>
      <c r="I27" s="267" t="s">
        <v>317</v>
      </c>
      <c r="J27" s="270">
        <v>1</v>
      </c>
      <c r="K27" s="267" t="s">
        <v>318</v>
      </c>
      <c r="L27" s="70">
        <v>1</v>
      </c>
      <c r="M27" s="271"/>
      <c r="N27" s="272"/>
      <c r="O27" s="267" t="s">
        <v>319</v>
      </c>
      <c r="P27" s="273">
        <v>1</v>
      </c>
      <c r="Q27" s="11" t="s">
        <v>320</v>
      </c>
      <c r="R27" s="273">
        <v>1</v>
      </c>
      <c r="S27" s="71" t="s">
        <v>321</v>
      </c>
      <c r="T27" s="76">
        <v>1</v>
      </c>
      <c r="U27" s="76" t="s">
        <v>322</v>
      </c>
      <c r="V27" s="71" t="s">
        <v>323</v>
      </c>
      <c r="W27" s="71" t="s">
        <v>324</v>
      </c>
    </row>
    <row r="28" spans="1:23" x14ac:dyDescent="0.25">
      <c r="A28" s="274" t="s">
        <v>325</v>
      </c>
      <c r="B28" s="275" t="s">
        <v>326</v>
      </c>
      <c r="C28" s="10">
        <v>6436</v>
      </c>
      <c r="D28" s="276" t="s">
        <v>327</v>
      </c>
      <c r="E28" s="12">
        <v>1</v>
      </c>
      <c r="F28" s="277" t="s">
        <v>328</v>
      </c>
      <c r="G28" s="278"/>
      <c r="H28" s="278"/>
      <c r="I28" s="254" t="s">
        <v>329</v>
      </c>
      <c r="J28" s="39">
        <v>1</v>
      </c>
      <c r="K28" s="38" t="s">
        <v>330</v>
      </c>
      <c r="L28" s="97">
        <v>1</v>
      </c>
      <c r="M28" s="38" t="s">
        <v>331</v>
      </c>
      <c r="N28" s="97">
        <v>1</v>
      </c>
      <c r="O28" s="38" t="s">
        <v>332</v>
      </c>
      <c r="P28" s="279">
        <v>1</v>
      </c>
      <c r="Q28" s="125" t="s">
        <v>333</v>
      </c>
      <c r="R28" s="97">
        <v>1</v>
      </c>
      <c r="S28" s="280" t="s">
        <v>334</v>
      </c>
      <c r="T28" s="281">
        <v>1</v>
      </c>
      <c r="U28" s="281" t="s">
        <v>335</v>
      </c>
      <c r="V28" s="282" t="s">
        <v>336</v>
      </c>
      <c r="W28" s="283" t="s">
        <v>337</v>
      </c>
    </row>
    <row r="29" spans="1:23" x14ac:dyDescent="0.25">
      <c r="A29" s="24" t="s">
        <v>338</v>
      </c>
      <c r="B29" s="284" t="s">
        <v>339</v>
      </c>
      <c r="C29" s="10">
        <v>2546</v>
      </c>
      <c r="D29" s="285" t="s">
        <v>340</v>
      </c>
      <c r="E29" s="18">
        <v>1</v>
      </c>
      <c r="F29" s="286" t="s">
        <v>341</v>
      </c>
      <c r="G29" s="287"/>
      <c r="H29" s="287"/>
      <c r="I29" s="285" t="s">
        <v>342</v>
      </c>
      <c r="J29" s="288">
        <v>1</v>
      </c>
      <c r="K29" s="289" t="s">
        <v>343</v>
      </c>
      <c r="L29" s="257">
        <v>1</v>
      </c>
      <c r="M29" s="289" t="s">
        <v>344</v>
      </c>
      <c r="N29" s="290">
        <v>1</v>
      </c>
      <c r="O29" s="291" t="s">
        <v>345</v>
      </c>
      <c r="P29" s="290">
        <v>1</v>
      </c>
      <c r="Q29" s="291" t="s">
        <v>346</v>
      </c>
      <c r="R29" s="288">
        <v>1</v>
      </c>
      <c r="S29" s="292" t="s">
        <v>347</v>
      </c>
      <c r="T29" s="293">
        <v>1</v>
      </c>
      <c r="U29" s="294" t="s">
        <v>348</v>
      </c>
      <c r="V29" s="295" t="s">
        <v>349</v>
      </c>
      <c r="W29" s="296" t="s">
        <v>350</v>
      </c>
    </row>
    <row r="30" spans="1:23" x14ac:dyDescent="0.25">
      <c r="A30" s="24" t="s">
        <v>351</v>
      </c>
      <c r="B30" s="134" t="s">
        <v>352</v>
      </c>
      <c r="C30" s="10">
        <v>5555</v>
      </c>
      <c r="D30" s="155" t="s">
        <v>353</v>
      </c>
      <c r="E30" s="18">
        <v>1</v>
      </c>
      <c r="F30" s="297" t="s">
        <v>354</v>
      </c>
      <c r="G30" s="298"/>
      <c r="H30" s="298"/>
      <c r="I30" s="299" t="s">
        <v>355</v>
      </c>
      <c r="J30" s="141">
        <v>1</v>
      </c>
      <c r="K30" s="140" t="s">
        <v>356</v>
      </c>
      <c r="L30" s="257">
        <v>1</v>
      </c>
      <c r="M30" s="300"/>
      <c r="N30" s="301"/>
      <c r="O30" s="140" t="s">
        <v>357</v>
      </c>
      <c r="P30" s="290">
        <v>1</v>
      </c>
      <c r="Q30" s="302" t="s">
        <v>358</v>
      </c>
      <c r="R30" s="303">
        <v>1</v>
      </c>
      <c r="S30" s="304" t="s">
        <v>359</v>
      </c>
      <c r="T30" s="305">
        <v>1</v>
      </c>
      <c r="U30" s="150" t="s">
        <v>360</v>
      </c>
      <c r="V30" s="306" t="s">
        <v>361</v>
      </c>
      <c r="W30" s="306" t="s">
        <v>362</v>
      </c>
    </row>
    <row r="31" spans="1:23" x14ac:dyDescent="0.25">
      <c r="A31" s="24" t="s">
        <v>363</v>
      </c>
      <c r="B31" s="134" t="s">
        <v>364</v>
      </c>
      <c r="C31" s="10">
        <v>1032</v>
      </c>
      <c r="D31" s="161" t="s">
        <v>365</v>
      </c>
      <c r="E31" s="18">
        <v>1</v>
      </c>
      <c r="F31" s="307" t="s">
        <v>366</v>
      </c>
      <c r="G31" s="230"/>
      <c r="H31" s="308"/>
      <c r="I31" s="155" t="s">
        <v>367</v>
      </c>
      <c r="J31" s="141">
        <v>1</v>
      </c>
      <c r="K31" s="155" t="s">
        <v>368</v>
      </c>
      <c r="L31" s="257">
        <v>1</v>
      </c>
      <c r="M31" s="144"/>
      <c r="N31" s="309"/>
      <c r="O31" s="140" t="s">
        <v>369</v>
      </c>
      <c r="P31" s="290">
        <v>1</v>
      </c>
      <c r="Q31" s="310" t="s">
        <v>370</v>
      </c>
      <c r="R31" s="303">
        <v>1</v>
      </c>
      <c r="S31" s="311" t="s">
        <v>371</v>
      </c>
      <c r="T31" s="150">
        <v>1</v>
      </c>
      <c r="U31" s="150" t="s">
        <v>372</v>
      </c>
      <c r="V31" s="306" t="s">
        <v>373</v>
      </c>
      <c r="W31" s="306" t="s">
        <v>374</v>
      </c>
    </row>
    <row r="32" spans="1:23" ht="15.75" thickBot="1" x14ac:dyDescent="0.3">
      <c r="A32" s="24" t="s">
        <v>375</v>
      </c>
      <c r="B32" s="134" t="s">
        <v>376</v>
      </c>
      <c r="C32" s="26">
        <v>7697</v>
      </c>
      <c r="D32" s="312" t="s">
        <v>377</v>
      </c>
      <c r="E32" s="223">
        <v>0</v>
      </c>
      <c r="F32" s="313" t="s">
        <v>378</v>
      </c>
      <c r="G32" s="314"/>
      <c r="H32" s="315"/>
      <c r="I32" s="316" t="s">
        <v>379</v>
      </c>
      <c r="J32" s="317">
        <v>1</v>
      </c>
      <c r="K32" s="318" t="s">
        <v>380</v>
      </c>
      <c r="L32" s="106">
        <v>1</v>
      </c>
      <c r="M32" s="319"/>
      <c r="N32" s="320"/>
      <c r="O32" s="155" t="s">
        <v>381</v>
      </c>
      <c r="P32" s="321">
        <v>1</v>
      </c>
      <c r="Q32" s="322"/>
      <c r="R32" s="323"/>
      <c r="S32" s="324" t="s">
        <v>382</v>
      </c>
      <c r="T32" s="150">
        <v>1</v>
      </c>
      <c r="U32" s="150" t="s">
        <v>383</v>
      </c>
      <c r="V32" s="306" t="s">
        <v>384</v>
      </c>
      <c r="W32" s="306" t="s">
        <v>385</v>
      </c>
    </row>
    <row r="33" spans="1:23" x14ac:dyDescent="0.25">
      <c r="A33" s="325" t="s">
        <v>386</v>
      </c>
      <c r="B33" s="52" t="s">
        <v>387</v>
      </c>
      <c r="C33" s="326">
        <f>VLOOKUP(B33,'[1]2024 ID List'!$B$2:$C$100,2,FALSE)</f>
        <v>1044</v>
      </c>
      <c r="D33" s="327" t="s">
        <v>388</v>
      </c>
      <c r="E33" s="328">
        <v>1</v>
      </c>
      <c r="F33" s="329" t="s">
        <v>389</v>
      </c>
      <c r="G33" s="330" t="s">
        <v>390</v>
      </c>
      <c r="H33" s="331">
        <v>1</v>
      </c>
      <c r="I33" s="332" t="s">
        <v>391</v>
      </c>
      <c r="J33" s="333">
        <v>1</v>
      </c>
      <c r="K33" s="334" t="s">
        <v>392</v>
      </c>
      <c r="L33" s="335">
        <v>1</v>
      </c>
      <c r="M33" s="334" t="s">
        <v>393</v>
      </c>
      <c r="N33" s="336">
        <v>1</v>
      </c>
      <c r="O33" s="334" t="s">
        <v>394</v>
      </c>
      <c r="P33" s="335">
        <v>1</v>
      </c>
      <c r="Q33" s="337" t="s">
        <v>395</v>
      </c>
      <c r="R33" s="338">
        <v>1</v>
      </c>
      <c r="S33" s="339" t="s">
        <v>396</v>
      </c>
      <c r="T33" s="340">
        <v>1</v>
      </c>
      <c r="U33" s="341" t="s">
        <v>397</v>
      </c>
      <c r="V33" s="342" t="s">
        <v>398</v>
      </c>
      <c r="W33" s="343" t="s">
        <v>399</v>
      </c>
    </row>
    <row r="34" spans="1:23" x14ac:dyDescent="0.25">
      <c r="A34" s="344" t="s">
        <v>400</v>
      </c>
      <c r="B34" s="52" t="s">
        <v>401</v>
      </c>
      <c r="C34" s="326">
        <f>VLOOKUP(B34,'[1]2024 ID List'!$B$2:$C$100,2,FALSE)</f>
        <v>1045</v>
      </c>
      <c r="D34" s="345" t="s">
        <v>402</v>
      </c>
      <c r="E34" s="346">
        <v>1</v>
      </c>
      <c r="F34" s="347" t="s">
        <v>403</v>
      </c>
      <c r="G34" s="348"/>
      <c r="H34" s="349"/>
      <c r="I34" s="350" t="s">
        <v>404</v>
      </c>
      <c r="J34" s="351">
        <v>1</v>
      </c>
      <c r="K34" s="352" t="s">
        <v>405</v>
      </c>
      <c r="L34" s="353">
        <v>0</v>
      </c>
      <c r="M34" s="354"/>
      <c r="N34" s="355"/>
      <c r="O34" s="356" t="s">
        <v>406</v>
      </c>
      <c r="P34" s="357">
        <v>1</v>
      </c>
      <c r="Q34" s="356" t="s">
        <v>407</v>
      </c>
      <c r="R34" s="358">
        <v>1</v>
      </c>
      <c r="S34" s="359" t="s">
        <v>408</v>
      </c>
      <c r="T34" s="360">
        <v>1</v>
      </c>
      <c r="U34" s="360" t="s">
        <v>409</v>
      </c>
      <c r="V34" s="361" t="s">
        <v>410</v>
      </c>
      <c r="W34" s="362" t="s">
        <v>411</v>
      </c>
    </row>
    <row r="35" spans="1:23" x14ac:dyDescent="0.25">
      <c r="A35" s="24" t="s">
        <v>412</v>
      </c>
      <c r="B35" s="52" t="s">
        <v>413</v>
      </c>
      <c r="C35" s="326">
        <v>1054</v>
      </c>
      <c r="D35" s="363" t="s">
        <v>414</v>
      </c>
      <c r="E35" s="364">
        <v>1</v>
      </c>
      <c r="F35" s="365" t="s">
        <v>415</v>
      </c>
      <c r="G35" s="366"/>
      <c r="H35" s="367"/>
      <c r="I35" s="368" t="s">
        <v>416</v>
      </c>
      <c r="J35" s="150">
        <v>1</v>
      </c>
      <c r="K35" s="369" t="s">
        <v>417</v>
      </c>
      <c r="L35" s="370">
        <v>1</v>
      </c>
      <c r="M35" s="371" t="s">
        <v>405</v>
      </c>
      <c r="N35" s="372">
        <v>0</v>
      </c>
      <c r="O35" s="310" t="s">
        <v>418</v>
      </c>
      <c r="P35" s="373">
        <v>1</v>
      </c>
      <c r="Q35" s="324" t="s">
        <v>419</v>
      </c>
      <c r="R35" s="374">
        <v>1</v>
      </c>
      <c r="S35" s="375" t="s">
        <v>420</v>
      </c>
      <c r="T35" s="150">
        <v>1</v>
      </c>
      <c r="U35" s="150" t="s">
        <v>421</v>
      </c>
      <c r="V35" s="376" t="s">
        <v>422</v>
      </c>
      <c r="W35" s="377" t="s">
        <v>423</v>
      </c>
    </row>
    <row r="36" spans="1:23" ht="15.75" thickBot="1" x14ac:dyDescent="0.3">
      <c r="A36" s="378" t="s">
        <v>424</v>
      </c>
      <c r="B36" s="379" t="s">
        <v>425</v>
      </c>
      <c r="C36" s="380">
        <v>1079</v>
      </c>
      <c r="D36" s="381" t="s">
        <v>426</v>
      </c>
      <c r="E36" s="382">
        <v>1</v>
      </c>
      <c r="F36" s="381" t="s">
        <v>427</v>
      </c>
      <c r="G36" s="383"/>
      <c r="H36" s="384"/>
      <c r="I36" s="385" t="s">
        <v>428</v>
      </c>
      <c r="J36" s="386">
        <v>1</v>
      </c>
      <c r="K36" s="387" t="s">
        <v>429</v>
      </c>
      <c r="L36" s="388">
        <v>1</v>
      </c>
      <c r="M36" s="389" t="s">
        <v>430</v>
      </c>
      <c r="N36" s="390">
        <v>1</v>
      </c>
      <c r="O36" s="391" t="s">
        <v>431</v>
      </c>
      <c r="P36" s="392">
        <v>1</v>
      </c>
      <c r="Q36" s="393" t="s">
        <v>432</v>
      </c>
      <c r="R36" s="394">
        <v>1</v>
      </c>
      <c r="S36" s="395" t="s">
        <v>433</v>
      </c>
      <c r="T36" s="396">
        <v>1</v>
      </c>
      <c r="U36" s="397" t="s">
        <v>434</v>
      </c>
      <c r="V36" s="398" t="s">
        <v>435</v>
      </c>
      <c r="W36" s="399" t="s">
        <v>436</v>
      </c>
    </row>
    <row r="37" spans="1:23" x14ac:dyDescent="0.25">
      <c r="A37" s="344" t="s">
        <v>437</v>
      </c>
      <c r="B37" s="52" t="s">
        <v>438</v>
      </c>
      <c r="C37" s="326">
        <f>VLOOKUP(B37,'[1]2024 ID List'!$B$2:$C$100,2,FALSE)</f>
        <v>1067</v>
      </c>
      <c r="D37" s="363" t="s">
        <v>439</v>
      </c>
      <c r="E37" s="364">
        <v>1</v>
      </c>
      <c r="F37" s="365" t="s">
        <v>440</v>
      </c>
      <c r="G37" s="400"/>
      <c r="H37" s="401"/>
      <c r="I37" s="402" t="s">
        <v>441</v>
      </c>
      <c r="J37" s="403">
        <v>1</v>
      </c>
      <c r="K37" s="404" t="s">
        <v>442</v>
      </c>
      <c r="L37" s="405">
        <v>1</v>
      </c>
      <c r="M37" s="406" t="s">
        <v>443</v>
      </c>
      <c r="N37" s="407">
        <v>1</v>
      </c>
      <c r="O37" s="408" t="s">
        <v>444</v>
      </c>
      <c r="P37" s="409">
        <v>1</v>
      </c>
      <c r="Q37" s="410" t="s">
        <v>445</v>
      </c>
      <c r="R37" s="411">
        <v>1</v>
      </c>
      <c r="S37" s="412" t="s">
        <v>446</v>
      </c>
      <c r="T37" s="413">
        <v>1</v>
      </c>
      <c r="U37" s="414" t="s">
        <v>447</v>
      </c>
      <c r="V37" s="415" t="s">
        <v>448</v>
      </c>
      <c r="W37" s="416" t="s">
        <v>449</v>
      </c>
    </row>
    <row r="38" spans="1:23" x14ac:dyDescent="0.25">
      <c r="A38" s="344" t="s">
        <v>450</v>
      </c>
      <c r="B38" s="417" t="s">
        <v>451</v>
      </c>
      <c r="C38" s="326">
        <v>1069</v>
      </c>
      <c r="D38" s="345" t="s">
        <v>452</v>
      </c>
      <c r="E38" s="418">
        <v>1</v>
      </c>
      <c r="F38" s="419" t="s">
        <v>453</v>
      </c>
      <c r="G38" s="420"/>
      <c r="H38" s="421"/>
      <c r="I38" s="402" t="s">
        <v>454</v>
      </c>
      <c r="J38" s="403">
        <v>1</v>
      </c>
      <c r="K38" s="404" t="s">
        <v>455</v>
      </c>
      <c r="L38" s="422">
        <v>1</v>
      </c>
      <c r="M38" s="423"/>
      <c r="N38" s="355"/>
      <c r="O38" s="424" t="s">
        <v>456</v>
      </c>
      <c r="P38" s="425">
        <v>1</v>
      </c>
      <c r="Q38" s="426" t="s">
        <v>457</v>
      </c>
      <c r="R38" s="427">
        <v>1</v>
      </c>
      <c r="S38" s="311" t="s">
        <v>458</v>
      </c>
      <c r="T38" s="428">
        <v>1</v>
      </c>
      <c r="U38" s="428" t="s">
        <v>459</v>
      </c>
      <c r="V38" s="429" t="s">
        <v>460</v>
      </c>
      <c r="W38" s="377" t="s">
        <v>461</v>
      </c>
    </row>
    <row r="39" spans="1:23" x14ac:dyDescent="0.25">
      <c r="A39" s="344" t="s">
        <v>462</v>
      </c>
      <c r="B39" s="52" t="s">
        <v>463</v>
      </c>
      <c r="C39" s="326">
        <v>1077</v>
      </c>
      <c r="D39" s="417" t="s">
        <v>464</v>
      </c>
      <c r="E39" s="430">
        <v>1</v>
      </c>
      <c r="F39" s="431" t="s">
        <v>465</v>
      </c>
      <c r="G39" s="432"/>
      <c r="H39" s="433"/>
      <c r="I39" s="434" t="s">
        <v>466</v>
      </c>
      <c r="J39" s="435">
        <v>1</v>
      </c>
      <c r="K39" s="436" t="s">
        <v>467</v>
      </c>
      <c r="L39" s="437">
        <v>1</v>
      </c>
      <c r="M39" s="438" t="s">
        <v>468</v>
      </c>
      <c r="N39" s="439">
        <v>1</v>
      </c>
      <c r="O39" s="440" t="s">
        <v>469</v>
      </c>
      <c r="P39" s="441">
        <v>1</v>
      </c>
      <c r="Q39" s="442" t="s">
        <v>470</v>
      </c>
      <c r="R39" s="443">
        <v>1</v>
      </c>
      <c r="S39" s="304" t="s">
        <v>471</v>
      </c>
      <c r="T39" s="444">
        <v>1</v>
      </c>
      <c r="U39" s="444" t="s">
        <v>472</v>
      </c>
      <c r="V39" s="429" t="s">
        <v>473</v>
      </c>
      <c r="W39" s="362" t="s">
        <v>474</v>
      </c>
    </row>
    <row r="40" spans="1:23" ht="15.75" thickBot="1" x14ac:dyDescent="0.3">
      <c r="A40" s="445" t="s">
        <v>475</v>
      </c>
      <c r="B40" s="379" t="s">
        <v>476</v>
      </c>
      <c r="C40" s="380">
        <v>1056</v>
      </c>
      <c r="D40" s="446" t="s">
        <v>477</v>
      </c>
      <c r="E40" s="447">
        <v>1</v>
      </c>
      <c r="F40" s="448" t="s">
        <v>478</v>
      </c>
      <c r="G40" s="449"/>
      <c r="H40" s="450"/>
      <c r="I40" s="451" t="s">
        <v>479</v>
      </c>
      <c r="J40" s="452">
        <v>1</v>
      </c>
      <c r="K40" s="453" t="s">
        <v>480</v>
      </c>
      <c r="L40" s="454">
        <v>1</v>
      </c>
      <c r="M40" s="455"/>
      <c r="N40" s="456"/>
      <c r="O40" s="457" t="s">
        <v>481</v>
      </c>
      <c r="P40" s="458">
        <v>1</v>
      </c>
      <c r="Q40" s="459" t="s">
        <v>482</v>
      </c>
      <c r="R40" s="460">
        <v>1</v>
      </c>
      <c r="S40" s="461" t="s">
        <v>483</v>
      </c>
      <c r="T40" s="462">
        <v>1</v>
      </c>
      <c r="U40" s="463" t="s">
        <v>484</v>
      </c>
      <c r="V40" s="464" t="s">
        <v>485</v>
      </c>
      <c r="W40" s="465" t="s">
        <v>486</v>
      </c>
    </row>
    <row r="41" spans="1:23" x14ac:dyDescent="0.25">
      <c r="A41" s="466" t="s">
        <v>487</v>
      </c>
      <c r="B41" s="363" t="s">
        <v>488</v>
      </c>
      <c r="C41" s="467">
        <v>1057</v>
      </c>
      <c r="D41" s="103" t="s">
        <v>489</v>
      </c>
      <c r="E41" s="468">
        <v>1</v>
      </c>
      <c r="F41" s="345" t="s">
        <v>490</v>
      </c>
      <c r="G41" s="469"/>
      <c r="H41" s="470"/>
      <c r="I41" s="302" t="s">
        <v>491</v>
      </c>
      <c r="J41" s="303">
        <v>1</v>
      </c>
      <c r="K41" s="471" t="s">
        <v>492</v>
      </c>
      <c r="L41" s="472">
        <v>1</v>
      </c>
      <c r="M41" s="473"/>
      <c r="N41" s="474"/>
      <c r="O41" s="302" t="s">
        <v>493</v>
      </c>
      <c r="P41" s="303">
        <v>1</v>
      </c>
      <c r="Q41" s="475" t="s">
        <v>494</v>
      </c>
      <c r="R41" s="476">
        <v>1</v>
      </c>
      <c r="S41" s="475" t="s">
        <v>495</v>
      </c>
      <c r="T41" s="477">
        <v>1</v>
      </c>
      <c r="U41" s="478" t="s">
        <v>496</v>
      </c>
      <c r="V41" s="479" t="s">
        <v>497</v>
      </c>
      <c r="W41" s="480" t="s">
        <v>498</v>
      </c>
    </row>
    <row r="42" spans="1:23" x14ac:dyDescent="0.25">
      <c r="A42" s="24" t="s">
        <v>499</v>
      </c>
      <c r="B42" s="365" t="s">
        <v>500</v>
      </c>
      <c r="C42" s="467">
        <v>1071</v>
      </c>
      <c r="D42" s="27" t="s">
        <v>501</v>
      </c>
      <c r="E42" s="481">
        <v>1</v>
      </c>
      <c r="F42" s="52" t="s">
        <v>502</v>
      </c>
      <c r="G42" s="433"/>
      <c r="H42" s="433"/>
      <c r="I42" s="482" t="s">
        <v>503</v>
      </c>
      <c r="J42" s="374">
        <v>1</v>
      </c>
      <c r="K42" s="483" t="s">
        <v>504</v>
      </c>
      <c r="L42" s="484">
        <v>1</v>
      </c>
      <c r="M42" s="485" t="s">
        <v>505</v>
      </c>
      <c r="N42" s="486">
        <v>1</v>
      </c>
      <c r="O42" s="487" t="s">
        <v>506</v>
      </c>
      <c r="P42" s="374">
        <v>1</v>
      </c>
      <c r="Q42" s="487" t="s">
        <v>507</v>
      </c>
      <c r="R42" s="374">
        <v>1</v>
      </c>
      <c r="S42" s="487" t="s">
        <v>508</v>
      </c>
      <c r="T42" s="150">
        <v>1</v>
      </c>
      <c r="U42" s="373" t="s">
        <v>509</v>
      </c>
      <c r="V42" s="479" t="s">
        <v>510</v>
      </c>
      <c r="W42" s="488" t="s">
        <v>511</v>
      </c>
    </row>
    <row r="43" spans="1:23" ht="15.75" thickBot="1" x14ac:dyDescent="0.3">
      <c r="A43" s="489" t="s">
        <v>512</v>
      </c>
      <c r="B43" s="379" t="s">
        <v>513</v>
      </c>
      <c r="C43" s="490">
        <v>1076</v>
      </c>
      <c r="D43" s="491" t="s">
        <v>514</v>
      </c>
      <c r="E43" s="492">
        <v>1</v>
      </c>
      <c r="F43" s="379" t="s">
        <v>515</v>
      </c>
      <c r="G43" s="493"/>
      <c r="H43" s="494"/>
      <c r="I43" s="495" t="s">
        <v>516</v>
      </c>
      <c r="J43" s="239">
        <v>1</v>
      </c>
      <c r="K43" s="496" t="s">
        <v>517</v>
      </c>
      <c r="L43" s="497">
        <v>1</v>
      </c>
      <c r="M43" s="498" t="s">
        <v>518</v>
      </c>
      <c r="N43" s="499">
        <v>1</v>
      </c>
      <c r="O43" s="500" t="s">
        <v>519</v>
      </c>
      <c r="P43" s="239">
        <v>1</v>
      </c>
      <c r="Q43" s="495" t="s">
        <v>520</v>
      </c>
      <c r="R43" s="239">
        <v>1</v>
      </c>
      <c r="S43" s="501" t="s">
        <v>521</v>
      </c>
      <c r="T43" s="239">
        <v>1</v>
      </c>
      <c r="U43" s="239" t="s">
        <v>522</v>
      </c>
      <c r="V43" s="115" t="s">
        <v>523</v>
      </c>
      <c r="W43" s="502" t="s">
        <v>524</v>
      </c>
    </row>
    <row r="44" spans="1:23" x14ac:dyDescent="0.25">
      <c r="A44" s="503" t="s">
        <v>525</v>
      </c>
      <c r="B44" s="417" t="s">
        <v>526</v>
      </c>
      <c r="C44" s="326">
        <f>VLOOKUP(B44,'[1]2024 ID List'!$B$2:$C$100,2,FALSE)</f>
        <v>1055</v>
      </c>
      <c r="D44" s="504" t="s">
        <v>527</v>
      </c>
      <c r="E44" s="418">
        <v>1</v>
      </c>
      <c r="F44" s="504" t="s">
        <v>528</v>
      </c>
      <c r="G44" s="505"/>
      <c r="H44" s="348"/>
      <c r="I44" s="506" t="s">
        <v>529</v>
      </c>
      <c r="J44" s="507">
        <v>1</v>
      </c>
      <c r="K44" s="508" t="s">
        <v>530</v>
      </c>
      <c r="L44" s="509">
        <v>1</v>
      </c>
      <c r="M44" s="510"/>
      <c r="N44" s="511"/>
      <c r="O44" s="442" t="s">
        <v>531</v>
      </c>
      <c r="P44" s="507">
        <v>1</v>
      </c>
      <c r="Q44" s="506" t="s">
        <v>532</v>
      </c>
      <c r="R44" s="411">
        <v>1</v>
      </c>
      <c r="S44" s="161" t="s">
        <v>533</v>
      </c>
      <c r="T44" s="414">
        <v>1</v>
      </c>
      <c r="U44" s="512" t="s">
        <v>534</v>
      </c>
      <c r="V44" s="513" t="s">
        <v>535</v>
      </c>
      <c r="W44" s="514" t="s">
        <v>536</v>
      </c>
    </row>
    <row r="45" spans="1:23" x14ac:dyDescent="0.25">
      <c r="A45" s="503" t="s">
        <v>537</v>
      </c>
      <c r="B45" s="52" t="s">
        <v>538</v>
      </c>
      <c r="C45" s="326">
        <v>1063</v>
      </c>
      <c r="D45" s="504" t="s">
        <v>539</v>
      </c>
      <c r="E45" s="515">
        <v>1</v>
      </c>
      <c r="F45" s="52" t="s">
        <v>540</v>
      </c>
      <c r="G45" s="516"/>
      <c r="H45" s="349"/>
      <c r="I45" s="517" t="s">
        <v>541</v>
      </c>
      <c r="J45" s="518">
        <v>1</v>
      </c>
      <c r="K45" s="519" t="s">
        <v>542</v>
      </c>
      <c r="L45" s="520">
        <v>1</v>
      </c>
      <c r="M45" s="521" t="s">
        <v>543</v>
      </c>
      <c r="N45" s="484">
        <v>1</v>
      </c>
      <c r="O45" s="517" t="s">
        <v>544</v>
      </c>
      <c r="P45" s="435">
        <v>1</v>
      </c>
      <c r="Q45" s="517" t="s">
        <v>545</v>
      </c>
      <c r="R45" s="358">
        <v>1</v>
      </c>
      <c r="S45" s="522" t="s">
        <v>546</v>
      </c>
      <c r="T45" s="413">
        <v>1</v>
      </c>
      <c r="U45" s="523" t="s">
        <v>547</v>
      </c>
      <c r="V45" s="524" t="s">
        <v>548</v>
      </c>
      <c r="W45" s="525" t="s">
        <v>549</v>
      </c>
    </row>
    <row r="46" spans="1:23" x14ac:dyDescent="0.25">
      <c r="A46" s="526" t="s">
        <v>550</v>
      </c>
      <c r="B46" s="527" t="s">
        <v>551</v>
      </c>
      <c r="C46" s="326">
        <f>VLOOKUP(B46,'[1]2024 ID List'!$B$2:$C$100,2,FALSE)</f>
        <v>1066</v>
      </c>
      <c r="D46" s="528" t="s">
        <v>552</v>
      </c>
      <c r="E46" s="529">
        <v>1</v>
      </c>
      <c r="F46" s="527" t="s">
        <v>553</v>
      </c>
      <c r="G46" s="527" t="s">
        <v>554</v>
      </c>
      <c r="H46" s="530">
        <v>1</v>
      </c>
      <c r="I46" s="531" t="s">
        <v>555</v>
      </c>
      <c r="J46" s="530">
        <v>1</v>
      </c>
      <c r="K46" s="531" t="s">
        <v>556</v>
      </c>
      <c r="L46" s="530">
        <v>1</v>
      </c>
      <c r="M46" s="532" t="s">
        <v>557</v>
      </c>
      <c r="N46" s="533">
        <v>0</v>
      </c>
      <c r="O46" s="531" t="s">
        <v>558</v>
      </c>
      <c r="P46" s="530">
        <v>1</v>
      </c>
      <c r="Q46" s="531" t="s">
        <v>559</v>
      </c>
      <c r="R46" s="530">
        <v>1</v>
      </c>
      <c r="S46" s="482" t="s">
        <v>560</v>
      </c>
      <c r="T46" s="150">
        <v>1</v>
      </c>
      <c r="U46" s="150" t="s">
        <v>561</v>
      </c>
      <c r="V46" s="527" t="s">
        <v>562</v>
      </c>
      <c r="W46" s="534" t="s">
        <v>563</v>
      </c>
    </row>
    <row r="47" spans="1:23" ht="15.75" thickBot="1" x14ac:dyDescent="0.3">
      <c r="A47" s="503" t="s">
        <v>564</v>
      </c>
      <c r="B47" s="527" t="s">
        <v>565</v>
      </c>
      <c r="C47" s="326">
        <v>1074</v>
      </c>
      <c r="D47" s="527" t="s">
        <v>566</v>
      </c>
      <c r="E47" s="535">
        <v>1</v>
      </c>
      <c r="F47" s="527" t="s">
        <v>567</v>
      </c>
      <c r="G47" s="536"/>
      <c r="H47" s="537"/>
      <c r="I47" s="538" t="s">
        <v>568</v>
      </c>
      <c r="J47" s="530">
        <v>1</v>
      </c>
      <c r="K47" s="531" t="s">
        <v>569</v>
      </c>
      <c r="L47" s="539">
        <v>1</v>
      </c>
      <c r="M47" s="532" t="s">
        <v>262</v>
      </c>
      <c r="N47" s="540">
        <v>0</v>
      </c>
      <c r="O47" s="531" t="s">
        <v>570</v>
      </c>
      <c r="P47" s="539">
        <v>1</v>
      </c>
      <c r="Q47" s="531" t="s">
        <v>571</v>
      </c>
      <c r="R47" s="541">
        <v>1</v>
      </c>
      <c r="S47" s="542" t="s">
        <v>572</v>
      </c>
      <c r="T47" s="150">
        <v>1</v>
      </c>
      <c r="U47" s="150" t="s">
        <v>573</v>
      </c>
      <c r="V47" s="527" t="s">
        <v>574</v>
      </c>
      <c r="W47" s="530" t="s">
        <v>575</v>
      </c>
    </row>
    <row r="48" spans="1:23" x14ac:dyDescent="0.25">
      <c r="A48" s="817" t="s">
        <v>860</v>
      </c>
      <c r="B48" s="52" t="s">
        <v>576</v>
      </c>
      <c r="C48" s="326">
        <f>VLOOKUP(B48,'[1]2024 ID List'!$B$2:$C$100,2,FALSE)</f>
        <v>4733</v>
      </c>
      <c r="D48" s="543" t="s">
        <v>577</v>
      </c>
      <c r="E48" s="515">
        <v>1</v>
      </c>
      <c r="F48" s="544" t="s">
        <v>578</v>
      </c>
      <c r="G48" s="545"/>
      <c r="H48" s="546"/>
      <c r="I48" s="547" t="s">
        <v>579</v>
      </c>
      <c r="J48" s="548">
        <v>1</v>
      </c>
      <c r="K48" s="549" t="s">
        <v>580</v>
      </c>
      <c r="L48" s="550">
        <v>1</v>
      </c>
      <c r="M48" s="551"/>
      <c r="N48" s="552"/>
      <c r="O48" s="553" t="s">
        <v>581</v>
      </c>
      <c r="P48" s="554">
        <v>1</v>
      </c>
      <c r="Q48" s="276" t="s">
        <v>582</v>
      </c>
      <c r="R48" s="555">
        <v>1</v>
      </c>
      <c r="S48" s="276" t="s">
        <v>583</v>
      </c>
      <c r="T48" s="556">
        <v>1</v>
      </c>
      <c r="U48" s="557" t="s">
        <v>584</v>
      </c>
      <c r="V48" s="558" t="s">
        <v>585</v>
      </c>
      <c r="W48" s="559" t="s">
        <v>586</v>
      </c>
    </row>
    <row r="49" spans="1:23" x14ac:dyDescent="0.25">
      <c r="A49" s="818" t="s">
        <v>861</v>
      </c>
      <c r="B49" s="52" t="s">
        <v>587</v>
      </c>
      <c r="C49" s="326">
        <f>VLOOKUP(B49,'[1]2024 ID List'!$B$2:$C$100,2,FALSE)</f>
        <v>8467</v>
      </c>
      <c r="D49" s="560" t="s">
        <v>588</v>
      </c>
      <c r="E49" s="561">
        <v>0</v>
      </c>
      <c r="F49" s="562"/>
      <c r="G49" s="545"/>
      <c r="H49" s="563"/>
      <c r="I49" s="564" t="s">
        <v>589</v>
      </c>
      <c r="J49" s="565">
        <v>1</v>
      </c>
      <c r="K49" s="566" t="s">
        <v>590</v>
      </c>
      <c r="L49" s="567">
        <v>0</v>
      </c>
      <c r="M49" s="568" t="s">
        <v>591</v>
      </c>
      <c r="N49" s="569">
        <v>0</v>
      </c>
      <c r="O49" s="570" t="s">
        <v>592</v>
      </c>
      <c r="P49" s="565">
        <v>1</v>
      </c>
      <c r="Q49" s="571" t="s">
        <v>593</v>
      </c>
      <c r="R49" s="572">
        <v>1</v>
      </c>
      <c r="S49" s="291" t="s">
        <v>594</v>
      </c>
      <c r="T49" s="573">
        <v>1</v>
      </c>
      <c r="U49" s="574" t="s">
        <v>595</v>
      </c>
      <c r="V49" s="575" t="s">
        <v>596</v>
      </c>
      <c r="W49" s="576" t="s">
        <v>597</v>
      </c>
    </row>
    <row r="50" spans="1:23" x14ac:dyDescent="0.25">
      <c r="A50" s="819" t="s">
        <v>862</v>
      </c>
      <c r="B50" s="52" t="s">
        <v>598</v>
      </c>
      <c r="C50" s="326">
        <f>VLOOKUP(B50,'[1]2024 ID List'!$B$2:$C$100,2,FALSE)</f>
        <v>9378</v>
      </c>
      <c r="D50" s="577" t="s">
        <v>599</v>
      </c>
      <c r="E50" s="578">
        <v>1</v>
      </c>
      <c r="F50" s="579" t="s">
        <v>600</v>
      </c>
      <c r="G50" s="580"/>
      <c r="H50" s="581"/>
      <c r="I50" s="582" t="s">
        <v>601</v>
      </c>
      <c r="J50" s="583">
        <v>1</v>
      </c>
      <c r="K50" s="584" t="s">
        <v>602</v>
      </c>
      <c r="L50" s="565">
        <v>1</v>
      </c>
      <c r="M50" s="585" t="s">
        <v>603</v>
      </c>
      <c r="N50" s="288">
        <v>1</v>
      </c>
      <c r="O50" s="564" t="s">
        <v>604</v>
      </c>
      <c r="P50" s="548">
        <v>1</v>
      </c>
      <c r="Q50" s="564" t="s">
        <v>605</v>
      </c>
      <c r="R50" s="338">
        <v>1</v>
      </c>
      <c r="S50" s="586" t="s">
        <v>606</v>
      </c>
      <c r="T50" s="587">
        <v>0</v>
      </c>
      <c r="U50" s="588" t="s">
        <v>607</v>
      </c>
      <c r="V50" s="589" t="s">
        <v>608</v>
      </c>
      <c r="W50" s="590" t="s">
        <v>609</v>
      </c>
    </row>
    <row r="51" spans="1:23" x14ac:dyDescent="0.25">
      <c r="A51" s="820" t="s">
        <v>863</v>
      </c>
      <c r="B51" s="417" t="s">
        <v>610</v>
      </c>
      <c r="C51" s="326">
        <f>VLOOKUP(B51,'[1]2024 ID List'!$B$2:$C$100,2,FALSE)</f>
        <v>1047</v>
      </c>
      <c r="D51" s="591" t="s">
        <v>611</v>
      </c>
      <c r="E51" s="578">
        <v>1</v>
      </c>
      <c r="F51" s="592" t="s">
        <v>612</v>
      </c>
      <c r="G51" s="593"/>
      <c r="H51" s="594"/>
      <c r="I51" s="595" t="s">
        <v>613</v>
      </c>
      <c r="J51" s="565">
        <v>1</v>
      </c>
      <c r="K51" s="570" t="s">
        <v>614</v>
      </c>
      <c r="L51" s="596">
        <v>1</v>
      </c>
      <c r="M51" s="116" t="s">
        <v>615</v>
      </c>
      <c r="N51" s="597">
        <v>1</v>
      </c>
      <c r="O51" s="570" t="s">
        <v>616</v>
      </c>
      <c r="P51" s="598">
        <v>1</v>
      </c>
      <c r="Q51" s="570" t="s">
        <v>617</v>
      </c>
      <c r="R51" s="548">
        <v>1</v>
      </c>
      <c r="S51" s="599" t="s">
        <v>618</v>
      </c>
      <c r="T51" s="600">
        <v>1</v>
      </c>
      <c r="U51" s="600" t="s">
        <v>619</v>
      </c>
      <c r="V51" s="601" t="s">
        <v>620</v>
      </c>
      <c r="W51" s="602" t="s">
        <v>621</v>
      </c>
    </row>
    <row r="52" spans="1:23" x14ac:dyDescent="0.25">
      <c r="A52" s="821" t="s">
        <v>864</v>
      </c>
      <c r="B52" s="52" t="s">
        <v>622</v>
      </c>
      <c r="C52" s="326">
        <v>1064</v>
      </c>
      <c r="D52" s="365" t="s">
        <v>623</v>
      </c>
      <c r="E52" s="603">
        <v>1</v>
      </c>
      <c r="F52" s="365" t="s">
        <v>624</v>
      </c>
      <c r="G52" s="516"/>
      <c r="H52" s="604"/>
      <c r="I52" s="605" t="s">
        <v>625</v>
      </c>
      <c r="J52" s="338">
        <v>1</v>
      </c>
      <c r="K52" s="606" t="s">
        <v>626</v>
      </c>
      <c r="L52" s="45">
        <v>1</v>
      </c>
      <c r="M52" s="607" t="s">
        <v>627</v>
      </c>
      <c r="N52" s="45">
        <v>1</v>
      </c>
      <c r="O52" s="606" t="s">
        <v>628</v>
      </c>
      <c r="P52" s="45">
        <v>1</v>
      </c>
      <c r="Q52" s="607" t="s">
        <v>629</v>
      </c>
      <c r="R52" s="45">
        <v>1</v>
      </c>
      <c r="S52" s="608" t="s">
        <v>630</v>
      </c>
      <c r="T52" s="600">
        <v>1</v>
      </c>
      <c r="U52" s="609" t="s">
        <v>631</v>
      </c>
      <c r="V52" s="610" t="s">
        <v>632</v>
      </c>
      <c r="W52" s="611" t="s">
        <v>633</v>
      </c>
    </row>
    <row r="53" spans="1:23" x14ac:dyDescent="0.25">
      <c r="A53" s="821" t="s">
        <v>865</v>
      </c>
      <c r="B53" s="504" t="s">
        <v>634</v>
      </c>
      <c r="C53" s="612">
        <v>1078</v>
      </c>
      <c r="D53" s="613" t="s">
        <v>635</v>
      </c>
      <c r="E53" s="614">
        <v>1</v>
      </c>
      <c r="F53" s="613" t="s">
        <v>636</v>
      </c>
      <c r="G53" s="348"/>
      <c r="H53" s="367"/>
      <c r="I53" s="615" t="s">
        <v>637</v>
      </c>
      <c r="J53" s="616">
        <v>1</v>
      </c>
      <c r="K53" s="617" t="s">
        <v>638</v>
      </c>
      <c r="L53" s="618">
        <v>1</v>
      </c>
      <c r="M53" s="619" t="s">
        <v>639</v>
      </c>
      <c r="N53" s="534">
        <v>1</v>
      </c>
      <c r="O53" s="620" t="s">
        <v>640</v>
      </c>
      <c r="P53" s="621">
        <v>0</v>
      </c>
      <c r="Q53" s="622" t="s">
        <v>641</v>
      </c>
      <c r="R53" s="623">
        <v>1</v>
      </c>
      <c r="S53" s="285" t="s">
        <v>642</v>
      </c>
      <c r="T53" s="45">
        <v>1</v>
      </c>
      <c r="U53" s="609" t="s">
        <v>643</v>
      </c>
      <c r="V53" s="40" t="s">
        <v>644</v>
      </c>
      <c r="W53" s="624" t="s">
        <v>645</v>
      </c>
    </row>
    <row r="54" spans="1:23" ht="15.75" thickBot="1" x14ac:dyDescent="0.3">
      <c r="A54" s="822" t="s">
        <v>866</v>
      </c>
      <c r="B54" s="625" t="s">
        <v>646</v>
      </c>
      <c r="C54" s="626">
        <v>1073</v>
      </c>
      <c r="D54" s="627" t="s">
        <v>647</v>
      </c>
      <c r="E54" s="628">
        <v>1</v>
      </c>
      <c r="F54" s="629" t="s">
        <v>648</v>
      </c>
      <c r="G54" s="630"/>
      <c r="H54" s="631"/>
      <c r="I54" s="632" t="s">
        <v>649</v>
      </c>
      <c r="J54" s="633">
        <v>1</v>
      </c>
      <c r="K54" s="634" t="s">
        <v>650</v>
      </c>
      <c r="L54" s="635">
        <v>1</v>
      </c>
      <c r="M54" s="627" t="s">
        <v>651</v>
      </c>
      <c r="N54" s="631">
        <v>1</v>
      </c>
      <c r="O54" s="634" t="s">
        <v>652</v>
      </c>
      <c r="P54" s="635">
        <v>1</v>
      </c>
      <c r="Q54" s="627" t="s">
        <v>653</v>
      </c>
      <c r="R54" s="631">
        <v>1</v>
      </c>
      <c r="S54" s="118" t="s">
        <v>654</v>
      </c>
      <c r="T54" s="636">
        <v>1</v>
      </c>
      <c r="U54" s="637" t="s">
        <v>655</v>
      </c>
      <c r="V54" s="632" t="s">
        <v>656</v>
      </c>
      <c r="W54" s="629" t="s">
        <v>657</v>
      </c>
    </row>
    <row r="55" spans="1:23" x14ac:dyDescent="0.25">
      <c r="A55" s="245" t="s">
        <v>867</v>
      </c>
      <c r="B55" s="638" t="s">
        <v>658</v>
      </c>
      <c r="C55" s="326">
        <f>VLOOKUP(B55,'[1]2024 ID List'!$B$2:$C$100,2,FALSE)</f>
        <v>1031</v>
      </c>
      <c r="D55" s="639" t="s">
        <v>659</v>
      </c>
      <c r="E55" s="640">
        <v>1</v>
      </c>
      <c r="F55" s="641" t="s">
        <v>660</v>
      </c>
      <c r="G55" s="642"/>
      <c r="H55" s="642"/>
      <c r="I55" s="170" t="s">
        <v>661</v>
      </c>
      <c r="J55" s="643">
        <v>1</v>
      </c>
      <c r="K55" s="644" t="s">
        <v>662</v>
      </c>
      <c r="L55" s="171">
        <v>1</v>
      </c>
      <c r="M55" s="644" t="s">
        <v>663</v>
      </c>
      <c r="N55" s="171">
        <v>1</v>
      </c>
      <c r="O55" s="645" t="s">
        <v>664</v>
      </c>
      <c r="P55" s="646">
        <v>1</v>
      </c>
      <c r="Q55" s="647" t="s">
        <v>665</v>
      </c>
      <c r="R55" s="648">
        <v>1</v>
      </c>
      <c r="S55" s="649" t="s">
        <v>666</v>
      </c>
      <c r="T55" s="650">
        <v>1</v>
      </c>
      <c r="U55" s="651" t="s">
        <v>667</v>
      </c>
      <c r="V55" s="9" t="s">
        <v>668</v>
      </c>
      <c r="W55" s="652" t="s">
        <v>669</v>
      </c>
    </row>
    <row r="56" spans="1:23" x14ac:dyDescent="0.25">
      <c r="A56" s="51" t="s">
        <v>868</v>
      </c>
      <c r="B56" t="s">
        <v>670</v>
      </c>
      <c r="C56" s="326">
        <f>VLOOKUP(B56,'[1]2024 ID List'!$B$2:$C$100,2,FALSE)</f>
        <v>2872</v>
      </c>
      <c r="D56" s="653" t="s">
        <v>671</v>
      </c>
      <c r="E56" s="654">
        <v>1</v>
      </c>
      <c r="F56" s="9" t="s">
        <v>672</v>
      </c>
      <c r="G56" s="655"/>
      <c r="H56" s="656"/>
      <c r="I56" s="657" t="s">
        <v>673</v>
      </c>
      <c r="J56" s="338">
        <v>1</v>
      </c>
      <c r="K56" s="570" t="s">
        <v>674</v>
      </c>
      <c r="L56" s="658">
        <v>1</v>
      </c>
      <c r="M56" s="659" t="s">
        <v>675</v>
      </c>
      <c r="N56" s="660">
        <v>1</v>
      </c>
      <c r="O56" s="661" t="s">
        <v>676</v>
      </c>
      <c r="P56" s="548">
        <v>1</v>
      </c>
      <c r="Q56" s="662" t="s">
        <v>677</v>
      </c>
      <c r="R56" s="555">
        <v>1</v>
      </c>
      <c r="S56" s="663" t="s">
        <v>678</v>
      </c>
      <c r="T56" s="664">
        <v>1</v>
      </c>
      <c r="U56" s="665" t="s">
        <v>679</v>
      </c>
      <c r="V56" s="589" t="s">
        <v>680</v>
      </c>
      <c r="W56" s="666" t="s">
        <v>681</v>
      </c>
    </row>
    <row r="57" spans="1:23" x14ac:dyDescent="0.25">
      <c r="A57" s="823" t="s">
        <v>869</v>
      </c>
      <c r="B57" t="s">
        <v>682</v>
      </c>
      <c r="C57" s="326">
        <f>VLOOKUP(B57,'[1]2024 ID List'!$B$2:$C$100,2,FALSE)</f>
        <v>1040</v>
      </c>
      <c r="D57" s="52" t="s">
        <v>683</v>
      </c>
      <c r="E57" s="667">
        <v>1</v>
      </c>
      <c r="F57" s="668" t="s">
        <v>684</v>
      </c>
      <c r="G57" s="366"/>
      <c r="H57" s="669"/>
      <c r="I57" t="s">
        <v>685</v>
      </c>
      <c r="J57" s="670">
        <v>1</v>
      </c>
      <c r="K57" s="570" t="s">
        <v>686</v>
      </c>
      <c r="L57" s="596">
        <v>1</v>
      </c>
      <c r="M57" s="285" t="s">
        <v>687</v>
      </c>
      <c r="N57" s="573">
        <v>1</v>
      </c>
      <c r="O57" s="671" t="s">
        <v>688</v>
      </c>
      <c r="P57" s="672">
        <v>1</v>
      </c>
      <c r="Q57" s="570" t="s">
        <v>689</v>
      </c>
      <c r="R57" s="338">
        <v>1</v>
      </c>
      <c r="S57" s="659" t="s">
        <v>690</v>
      </c>
      <c r="T57" s="673">
        <v>1</v>
      </c>
      <c r="U57" s="116" t="s">
        <v>691</v>
      </c>
      <c r="V57" s="674" t="s">
        <v>692</v>
      </c>
      <c r="W57" s="602" t="s">
        <v>693</v>
      </c>
    </row>
    <row r="58" spans="1:23" x14ac:dyDescent="0.25">
      <c r="A58" s="823" t="s">
        <v>870</v>
      </c>
      <c r="B58" t="s">
        <v>694</v>
      </c>
      <c r="C58" s="326">
        <v>1082</v>
      </c>
      <c r="D58" s="52" t="s">
        <v>695</v>
      </c>
      <c r="E58" s="578">
        <v>1</v>
      </c>
      <c r="F58" s="675" t="s">
        <v>696</v>
      </c>
      <c r="G58" s="349"/>
      <c r="H58" s="505"/>
      <c r="I58" t="s">
        <v>697</v>
      </c>
      <c r="J58" s="676">
        <v>1</v>
      </c>
      <c r="K58" s="677" t="s">
        <v>698</v>
      </c>
      <c r="L58" s="678">
        <v>1</v>
      </c>
      <c r="M58" s="679" t="s">
        <v>699</v>
      </c>
      <c r="N58" s="573"/>
      <c r="O58" s="680" t="s">
        <v>700</v>
      </c>
      <c r="P58" s="681">
        <v>1</v>
      </c>
      <c r="Q58" s="682" t="s">
        <v>701</v>
      </c>
      <c r="R58" s="338">
        <v>1</v>
      </c>
      <c r="S58" s="679" t="s">
        <v>702</v>
      </c>
      <c r="T58" s="45">
        <v>1</v>
      </c>
      <c r="U58" s="606" t="s">
        <v>703</v>
      </c>
      <c r="V58" s="683" t="s">
        <v>704</v>
      </c>
      <c r="W58" s="684" t="s">
        <v>705</v>
      </c>
    </row>
    <row r="59" spans="1:23" ht="15.75" thickBot="1" x14ac:dyDescent="0.3">
      <c r="A59" s="824" t="s">
        <v>871</v>
      </c>
      <c r="B59" s="379" t="s">
        <v>706</v>
      </c>
      <c r="C59" s="685">
        <f>VLOOKUP(B59,'[1]2024 ID List'!$B$2:$C$100,2,FALSE)</f>
        <v>3368</v>
      </c>
      <c r="D59" s="686" t="s">
        <v>707</v>
      </c>
      <c r="E59" s="687">
        <v>0</v>
      </c>
      <c r="F59" s="688"/>
      <c r="G59" s="689" t="s">
        <v>708</v>
      </c>
      <c r="H59" s="690">
        <v>1</v>
      </c>
      <c r="I59" s="691" t="s">
        <v>709</v>
      </c>
      <c r="J59" s="692">
        <v>1</v>
      </c>
      <c r="K59" s="693" t="s">
        <v>710</v>
      </c>
      <c r="L59" s="694">
        <v>1</v>
      </c>
      <c r="M59" s="695" t="s">
        <v>711</v>
      </c>
      <c r="N59" s="696">
        <v>1</v>
      </c>
      <c r="O59" s="697" t="s">
        <v>712</v>
      </c>
      <c r="P59" s="698">
        <v>1</v>
      </c>
      <c r="Q59" s="699" t="s">
        <v>713</v>
      </c>
      <c r="R59" s="700">
        <v>1</v>
      </c>
      <c r="S59" s="701" t="s">
        <v>714</v>
      </c>
      <c r="T59" s="702">
        <v>1</v>
      </c>
      <c r="U59" s="702" t="s">
        <v>715</v>
      </c>
      <c r="V59" s="703" t="s">
        <v>716</v>
      </c>
      <c r="W59" s="704" t="s">
        <v>717</v>
      </c>
    </row>
    <row r="60" spans="1:23" x14ac:dyDescent="0.25">
      <c r="A60" s="245" t="s">
        <v>872</v>
      </c>
      <c r="B60" s="638" t="s">
        <v>718</v>
      </c>
      <c r="C60" s="326">
        <f>VLOOKUP(B60,'[1]2024 ID List'!$B$2:$C$100,2,FALSE)</f>
        <v>2656</v>
      </c>
      <c r="D60" s="705" t="s">
        <v>719</v>
      </c>
      <c r="E60" s="706">
        <v>1</v>
      </c>
      <c r="F60" s="9" t="s">
        <v>720</v>
      </c>
      <c r="G60" s="707"/>
      <c r="H60" s="708"/>
      <c r="I60" s="170" t="s">
        <v>721</v>
      </c>
      <c r="J60" s="709">
        <v>1</v>
      </c>
      <c r="K60" s="710" t="s">
        <v>722</v>
      </c>
      <c r="L60" s="711">
        <v>1</v>
      </c>
      <c r="M60" s="166"/>
      <c r="N60" s="712"/>
      <c r="O60" s="170" t="s">
        <v>723</v>
      </c>
      <c r="P60" s="643">
        <v>1</v>
      </c>
      <c r="Q60" s="170" t="s">
        <v>724</v>
      </c>
      <c r="R60" s="206">
        <v>1</v>
      </c>
      <c r="S60" s="116" t="s">
        <v>725</v>
      </c>
      <c r="T60" s="713">
        <v>1</v>
      </c>
      <c r="U60" s="206" t="s">
        <v>726</v>
      </c>
      <c r="V60" s="9" t="s">
        <v>727</v>
      </c>
      <c r="W60" s="9" t="s">
        <v>728</v>
      </c>
    </row>
    <row r="61" spans="1:23" x14ac:dyDescent="0.25">
      <c r="A61" s="51" t="s">
        <v>873</v>
      </c>
      <c r="B61" s="714" t="s">
        <v>729</v>
      </c>
      <c r="C61" s="326">
        <v>1039</v>
      </c>
      <c r="D61" s="345" t="s">
        <v>730</v>
      </c>
      <c r="E61" s="715">
        <v>1</v>
      </c>
      <c r="F61" s="716" t="s">
        <v>731</v>
      </c>
      <c r="G61" s="717" t="s">
        <v>732</v>
      </c>
      <c r="H61" s="718">
        <v>1</v>
      </c>
      <c r="I61" s="564" t="s">
        <v>733</v>
      </c>
      <c r="J61" s="678">
        <v>1</v>
      </c>
      <c r="K61" s="719" t="s">
        <v>734</v>
      </c>
      <c r="L61" s="720">
        <v>1</v>
      </c>
      <c r="M61" s="721" t="s">
        <v>735</v>
      </c>
      <c r="N61" s="720">
        <v>1</v>
      </c>
      <c r="O61" s="677" t="s">
        <v>736</v>
      </c>
      <c r="P61" s="678">
        <v>1</v>
      </c>
      <c r="Q61" s="722" t="s">
        <v>737</v>
      </c>
      <c r="R61" s="723">
        <v>1</v>
      </c>
      <c r="S61" s="116" t="s">
        <v>738</v>
      </c>
      <c r="T61" s="574">
        <v>1</v>
      </c>
      <c r="U61" s="574" t="s">
        <v>739</v>
      </c>
      <c r="V61" s="724" t="s">
        <v>740</v>
      </c>
      <c r="W61" s="725" t="s">
        <v>741</v>
      </c>
    </row>
    <row r="62" spans="1:23" x14ac:dyDescent="0.25">
      <c r="A62" s="51" t="s">
        <v>874</v>
      </c>
      <c r="B62" s="504" t="s">
        <v>742</v>
      </c>
      <c r="C62" s="326">
        <v>1070</v>
      </c>
      <c r="D62" s="622" t="s">
        <v>743</v>
      </c>
      <c r="E62" s="715">
        <v>1</v>
      </c>
      <c r="F62" s="52" t="s">
        <v>744</v>
      </c>
      <c r="G62" s="726" t="s">
        <v>745</v>
      </c>
      <c r="H62" s="727">
        <v>1</v>
      </c>
      <c r="I62" s="682" t="s">
        <v>746</v>
      </c>
      <c r="J62" s="728">
        <v>1</v>
      </c>
      <c r="K62" s="729" t="s">
        <v>747</v>
      </c>
      <c r="L62" s="730">
        <v>1</v>
      </c>
      <c r="M62" s="729" t="s">
        <v>748</v>
      </c>
      <c r="N62" s="730">
        <v>1</v>
      </c>
      <c r="O62" s="677" t="s">
        <v>749</v>
      </c>
      <c r="P62" s="731">
        <v>1</v>
      </c>
      <c r="Q62" s="732" t="s">
        <v>750</v>
      </c>
      <c r="R62" s="733">
        <v>1</v>
      </c>
      <c r="S62" s="116" t="s">
        <v>751</v>
      </c>
      <c r="T62" s="733">
        <v>1</v>
      </c>
      <c r="U62" s="733" t="s">
        <v>752</v>
      </c>
      <c r="V62" s="734" t="s">
        <v>753</v>
      </c>
      <c r="W62" s="725" t="s">
        <v>754</v>
      </c>
    </row>
    <row r="63" spans="1:23" x14ac:dyDescent="0.25">
      <c r="A63" s="51" t="s">
        <v>875</v>
      </c>
      <c r="B63" s="504" t="s">
        <v>755</v>
      </c>
      <c r="C63" s="326">
        <v>1075</v>
      </c>
      <c r="D63" s="345" t="s">
        <v>756</v>
      </c>
      <c r="E63" s="715">
        <v>1</v>
      </c>
      <c r="F63" s="52" t="s">
        <v>757</v>
      </c>
      <c r="G63" s="735"/>
      <c r="H63" s="349"/>
      <c r="I63" s="732" t="s">
        <v>758</v>
      </c>
      <c r="J63" s="728">
        <v>1</v>
      </c>
      <c r="K63" s="729" t="s">
        <v>759</v>
      </c>
      <c r="L63" s="730">
        <v>1</v>
      </c>
      <c r="M63" s="729" t="s">
        <v>760</v>
      </c>
      <c r="N63" s="730">
        <v>1</v>
      </c>
      <c r="O63" s="677" t="s">
        <v>761</v>
      </c>
      <c r="P63" s="731">
        <v>1</v>
      </c>
      <c r="Q63" s="732" t="s">
        <v>762</v>
      </c>
      <c r="R63" s="733">
        <v>1</v>
      </c>
      <c r="S63" s="116" t="s">
        <v>763</v>
      </c>
      <c r="T63" s="736">
        <v>1</v>
      </c>
      <c r="U63" s="736" t="s">
        <v>764</v>
      </c>
      <c r="V63" s="734" t="s">
        <v>765</v>
      </c>
      <c r="W63" s="725" t="s">
        <v>766</v>
      </c>
    </row>
    <row r="64" spans="1:23" x14ac:dyDescent="0.25">
      <c r="A64" s="825" t="s">
        <v>876</v>
      </c>
      <c r="B64" s="363" t="s">
        <v>767</v>
      </c>
      <c r="C64" s="326">
        <v>2368</v>
      </c>
      <c r="D64" s="345" t="s">
        <v>768</v>
      </c>
      <c r="E64" s="737">
        <v>1</v>
      </c>
      <c r="F64" s="52" t="s">
        <v>769</v>
      </c>
      <c r="G64" s="738"/>
      <c r="H64" s="366"/>
      <c r="I64" s="662" t="s">
        <v>770</v>
      </c>
      <c r="J64" s="598">
        <v>1</v>
      </c>
      <c r="K64" s="739" t="s">
        <v>771</v>
      </c>
      <c r="L64" s="740">
        <v>1</v>
      </c>
      <c r="M64" s="741" t="s">
        <v>772</v>
      </c>
      <c r="N64" s="742">
        <v>1</v>
      </c>
      <c r="O64" s="570" t="s">
        <v>773</v>
      </c>
      <c r="P64" s="598">
        <v>1</v>
      </c>
      <c r="Q64" s="732" t="s">
        <v>774</v>
      </c>
      <c r="R64" s="733">
        <v>1</v>
      </c>
      <c r="S64" s="285" t="s">
        <v>775</v>
      </c>
      <c r="T64" s="288">
        <v>1</v>
      </c>
      <c r="U64" s="288" t="s">
        <v>776</v>
      </c>
      <c r="V64" s="524" t="s">
        <v>777</v>
      </c>
      <c r="W64" s="743" t="s">
        <v>778</v>
      </c>
    </row>
    <row r="65" spans="1:23" ht="15.75" thickBot="1" x14ac:dyDescent="0.3">
      <c r="A65" s="824" t="s">
        <v>877</v>
      </c>
      <c r="B65" s="379" t="s">
        <v>779</v>
      </c>
      <c r="C65" s="685">
        <f>VLOOKUP(B65,'[1]2024 ID List'!$B$2:$C$100,2,FALSE)</f>
        <v>1061</v>
      </c>
      <c r="D65" s="744" t="s">
        <v>780</v>
      </c>
      <c r="E65" s="745">
        <v>1</v>
      </c>
      <c r="F65" s="746" t="s">
        <v>781</v>
      </c>
      <c r="G65" s="747"/>
      <c r="H65" s="383"/>
      <c r="I65" s="748" t="s">
        <v>782</v>
      </c>
      <c r="J65" s="749">
        <v>1</v>
      </c>
      <c r="K65" s="750" t="s">
        <v>783</v>
      </c>
      <c r="L65" s="751">
        <v>1</v>
      </c>
      <c r="M65" s="752" t="s">
        <v>784</v>
      </c>
      <c r="N65" s="753">
        <v>1</v>
      </c>
      <c r="O65" s="754" t="s">
        <v>785</v>
      </c>
      <c r="P65" s="755">
        <v>1</v>
      </c>
      <c r="Q65" s="691" t="s">
        <v>786</v>
      </c>
      <c r="R65" s="756">
        <v>1</v>
      </c>
      <c r="S65" s="757" t="s">
        <v>787</v>
      </c>
      <c r="T65" s="756">
        <v>1</v>
      </c>
      <c r="U65" s="756" t="s">
        <v>788</v>
      </c>
      <c r="V65" s="758" t="s">
        <v>789</v>
      </c>
      <c r="W65" s="759" t="s">
        <v>790</v>
      </c>
    </row>
    <row r="66" spans="1:23" x14ac:dyDescent="0.25">
      <c r="A66" s="325" t="s">
        <v>878</v>
      </c>
      <c r="B66" s="504" t="s">
        <v>791</v>
      </c>
      <c r="C66" s="326">
        <f>VLOOKUP(B66,'[1]2024 ID List'!$B$2:$C$100,2,FALSE)</f>
        <v>1034</v>
      </c>
      <c r="D66" s="760" t="s">
        <v>792</v>
      </c>
      <c r="E66" s="761">
        <v>0</v>
      </c>
      <c r="F66" s="504"/>
      <c r="G66" s="384"/>
      <c r="H66" s="384"/>
      <c r="I66" s="442" t="s">
        <v>793</v>
      </c>
      <c r="J66" s="358">
        <v>1</v>
      </c>
      <c r="K66" s="762" t="s">
        <v>794</v>
      </c>
      <c r="L66" s="520">
        <v>1</v>
      </c>
      <c r="M66" s="763" t="s">
        <v>795</v>
      </c>
      <c r="N66" s="407">
        <v>1</v>
      </c>
      <c r="O66" s="410" t="s">
        <v>796</v>
      </c>
      <c r="P66" s="764">
        <v>1</v>
      </c>
      <c r="Q66" s="442" t="s">
        <v>797</v>
      </c>
      <c r="R66" s="357">
        <v>1</v>
      </c>
      <c r="S66" s="765" t="s">
        <v>798</v>
      </c>
      <c r="T66" s="766">
        <v>1</v>
      </c>
      <c r="U66" s="767" t="s">
        <v>799</v>
      </c>
      <c r="V66" s="768" t="s">
        <v>800</v>
      </c>
      <c r="W66" s="769" t="s">
        <v>801</v>
      </c>
    </row>
    <row r="67" spans="1:23" x14ac:dyDescent="0.25">
      <c r="A67" s="344" t="s">
        <v>879</v>
      </c>
      <c r="B67" s="52" t="s">
        <v>802</v>
      </c>
      <c r="C67" s="326">
        <f>VLOOKUP(B67,'[1]2024 ID List'!$B$2:$C$100,2,FALSE)</f>
        <v>1041</v>
      </c>
      <c r="D67" s="363" t="s">
        <v>803</v>
      </c>
      <c r="E67" s="364">
        <v>1</v>
      </c>
      <c r="F67" s="363" t="s">
        <v>804</v>
      </c>
      <c r="G67" s="770"/>
      <c r="H67" s="770"/>
      <c r="I67" s="356" t="s">
        <v>805</v>
      </c>
      <c r="J67" s="403">
        <v>1</v>
      </c>
      <c r="K67" s="404" t="s">
        <v>806</v>
      </c>
      <c r="L67" s="422">
        <v>1</v>
      </c>
      <c r="M67" s="771" t="s">
        <v>807</v>
      </c>
      <c r="N67" s="772">
        <v>1</v>
      </c>
      <c r="O67" s="408" t="s">
        <v>808</v>
      </c>
      <c r="P67" s="435">
        <v>1</v>
      </c>
      <c r="Q67" s="773" t="s">
        <v>809</v>
      </c>
      <c r="R67" s="774">
        <v>1</v>
      </c>
      <c r="S67" s="311" t="s">
        <v>810</v>
      </c>
      <c r="T67" s="444">
        <v>1</v>
      </c>
      <c r="U67" s="428" t="s">
        <v>811</v>
      </c>
      <c r="V67" s="775" t="s">
        <v>812</v>
      </c>
      <c r="W67" s="769" t="s">
        <v>813</v>
      </c>
    </row>
    <row r="68" spans="1:23" ht="15.75" thickBot="1" x14ac:dyDescent="0.3">
      <c r="A68" s="378" t="s">
        <v>880</v>
      </c>
      <c r="B68" s="379" t="s">
        <v>814</v>
      </c>
      <c r="C68" s="380">
        <f>VLOOKUP(B68,'[1]2024 ID List'!$B$2:$C$100,2,FALSE)</f>
        <v>1036</v>
      </c>
      <c r="D68" s="381" t="s">
        <v>815</v>
      </c>
      <c r="E68" s="382">
        <v>1</v>
      </c>
      <c r="F68" s="776" t="s">
        <v>816</v>
      </c>
      <c r="G68" s="777"/>
      <c r="H68" s="777"/>
      <c r="I68" s="393" t="s">
        <v>817</v>
      </c>
      <c r="J68" s="392">
        <v>1</v>
      </c>
      <c r="K68" s="778" t="s">
        <v>818</v>
      </c>
      <c r="L68" s="454">
        <v>1</v>
      </c>
      <c r="M68" s="779"/>
      <c r="N68" s="780"/>
      <c r="O68" s="391" t="s">
        <v>819</v>
      </c>
      <c r="P68" s="394">
        <v>1</v>
      </c>
      <c r="Q68" s="781" t="s">
        <v>820</v>
      </c>
      <c r="R68" s="782">
        <v>1</v>
      </c>
      <c r="S68" s="783" t="s">
        <v>821</v>
      </c>
      <c r="T68" s="784">
        <v>1</v>
      </c>
      <c r="U68" s="784" t="s">
        <v>822</v>
      </c>
      <c r="V68" s="785" t="s">
        <v>823</v>
      </c>
      <c r="W68" s="786" t="s">
        <v>824</v>
      </c>
    </row>
    <row r="69" spans="1:23" x14ac:dyDescent="0.25">
      <c r="A69" s="826" t="s">
        <v>881</v>
      </c>
      <c r="B69" s="787" t="s">
        <v>825</v>
      </c>
      <c r="C69" s="326">
        <f>VLOOKUP(B69,'[1]2024 ID List'!$B$2:$C$100,2,FALSE)</f>
        <v>1065</v>
      </c>
      <c r="D69" s="787" t="s">
        <v>826</v>
      </c>
      <c r="E69" s="788">
        <v>1</v>
      </c>
      <c r="F69" s="789" t="s">
        <v>827</v>
      </c>
      <c r="G69" s="790"/>
      <c r="H69" s="791"/>
      <c r="I69" s="792" t="s">
        <v>828</v>
      </c>
      <c r="J69" s="789">
        <v>1</v>
      </c>
      <c r="K69" s="792" t="s">
        <v>829</v>
      </c>
      <c r="L69" s="789">
        <v>1</v>
      </c>
      <c r="M69" s="538" t="s">
        <v>830</v>
      </c>
      <c r="N69" s="530">
        <v>1</v>
      </c>
      <c r="O69" s="792" t="s">
        <v>831</v>
      </c>
      <c r="P69" s="789">
        <v>1</v>
      </c>
      <c r="Q69" s="792" t="s">
        <v>832</v>
      </c>
      <c r="R69" s="793">
        <v>1</v>
      </c>
      <c r="S69" s="794" t="s">
        <v>833</v>
      </c>
      <c r="T69" s="795">
        <v>1</v>
      </c>
      <c r="U69" s="795" t="s">
        <v>834</v>
      </c>
      <c r="V69" s="787" t="s">
        <v>835</v>
      </c>
      <c r="W69" s="787" t="s">
        <v>836</v>
      </c>
    </row>
    <row r="70" spans="1:23" x14ac:dyDescent="0.25">
      <c r="A70" s="827" t="s">
        <v>882</v>
      </c>
      <c r="B70" s="796" t="s">
        <v>837</v>
      </c>
      <c r="C70" s="326">
        <v>1068</v>
      </c>
      <c r="D70" s="797" t="s">
        <v>838</v>
      </c>
      <c r="E70" s="798">
        <v>0</v>
      </c>
      <c r="F70" s="799"/>
      <c r="G70" s="800"/>
      <c r="H70" s="801"/>
      <c r="I70" s="802" t="s">
        <v>839</v>
      </c>
      <c r="J70" s="799">
        <v>1</v>
      </c>
      <c r="K70" s="802" t="s">
        <v>840</v>
      </c>
      <c r="L70" s="799">
        <v>1</v>
      </c>
      <c r="M70" s="803" t="s">
        <v>841</v>
      </c>
      <c r="N70" s="804">
        <v>1</v>
      </c>
      <c r="O70" s="802" t="s">
        <v>842</v>
      </c>
      <c r="P70" s="805">
        <v>1</v>
      </c>
      <c r="Q70" s="802" t="s">
        <v>843</v>
      </c>
      <c r="R70" s="534">
        <v>1</v>
      </c>
      <c r="S70" s="324" t="s">
        <v>844</v>
      </c>
      <c r="T70" s="806">
        <v>1</v>
      </c>
      <c r="U70" s="806" t="s">
        <v>845</v>
      </c>
      <c r="V70" s="622" t="s">
        <v>846</v>
      </c>
      <c r="W70" s="622" t="s">
        <v>847</v>
      </c>
    </row>
    <row r="71" spans="1:23" ht="15.75" thickBot="1" x14ac:dyDescent="0.3">
      <c r="A71" s="822" t="s">
        <v>883</v>
      </c>
      <c r="B71" s="629" t="s">
        <v>848</v>
      </c>
      <c r="C71" s="807">
        <v>1072</v>
      </c>
      <c r="D71" s="625" t="s">
        <v>849</v>
      </c>
      <c r="E71" s="808">
        <v>1</v>
      </c>
      <c r="F71" s="635" t="s">
        <v>850</v>
      </c>
      <c r="G71" s="809"/>
      <c r="H71" s="810"/>
      <c r="I71" s="811" t="s">
        <v>851</v>
      </c>
      <c r="J71" s="812">
        <v>1</v>
      </c>
      <c r="K71" s="811" t="s">
        <v>852</v>
      </c>
      <c r="L71" s="812">
        <v>1</v>
      </c>
      <c r="M71" s="813" t="s">
        <v>853</v>
      </c>
      <c r="N71" s="635">
        <v>1</v>
      </c>
      <c r="O71" s="811" t="s">
        <v>854</v>
      </c>
      <c r="P71" s="630">
        <v>1</v>
      </c>
      <c r="Q71" s="814" t="s">
        <v>855</v>
      </c>
      <c r="R71" s="234">
        <v>1</v>
      </c>
      <c r="S71" s="815" t="s">
        <v>856</v>
      </c>
      <c r="T71" s="462">
        <v>1</v>
      </c>
      <c r="U71" s="816" t="s">
        <v>857</v>
      </c>
      <c r="V71" s="632" t="s">
        <v>858</v>
      </c>
      <c r="W71" s="627" t="s">
        <v>859</v>
      </c>
    </row>
  </sheetData>
  <protectedRanges>
    <protectedRange sqref="O30 M30" name="Damion_7_2_2_1_1_1_4_1" securityDescriptor="O:WDG:WDD:(A;;CC;;;S-1-5-21-2096918946-1828025808-1361462980-26304)(A;;CC;;;S-1-5-21-2096918946-1828025808-1361462980-35687)"/>
    <protectedRange sqref="J2 J17:J20" name="Damion_10_2_2_1_1_1_1_1_4_1" securityDescriptor="O:WDG:WDD:(A;;CC;;;S-1-5-21-2096918946-1828025808-1361462980-26304)(A;;CC;;;S-1-5-21-2096918946-1828025808-1361462980-35687)"/>
    <protectedRange sqref="I23:J23 J21 J5:J9 J24:J27" name="Damion_31_1_1_3_1_1_1_1_2_1_1_1_1_4_1" securityDescriptor="O:WDG:WDD:(A;;CC;;;S-1-5-21-2096918946-1828025808-1361462980-26304)(A;;CC;;;S-1-5-21-2096918946-1828025808-1361462980-35687)"/>
    <protectedRange sqref="O11" name="Damion_7_2_2_2_2_1_1_1_1_1_4_1_1" securityDescriptor="O:WDG:WDD:(A;;CC;;;S-1-5-21-2096918946-1828025808-1361462980-26304)(A;;CC;;;S-1-5-21-2096918946-1828025808-1361462980-35687)"/>
    <protectedRange sqref="S3:S12 U3:U12" name="Damion_7_2_2_3_1_1_1_1_1_4_1_4" securityDescriptor="O:WDG:WDD:(A;;CC;;;S-1-5-21-2096918946-1828025808-1361462980-26304)(A;;CC;;;S-1-5-21-2096918946-1828025808-1361462980-35687)"/>
    <protectedRange sqref="S29 U29" name="Damion_7_2_2_3_1_3_1_1_4_1_1" securityDescriptor="O:WDG:WDD:(A;;CC;;;S-1-5-21-2096918946-1828025808-1361462980-26304)(A;;CC;;;S-1-5-21-2096918946-1828025808-1361462980-35687)"/>
    <protectedRange sqref="S23 U23" name="Damion_7_2_2_3_1_3_1_5_1_3" securityDescriptor="O:WDG:WDD:(A;;CC;;;S-1-5-21-2096918946-1828025808-1361462980-26304)(A;;CC;;;S-1-5-21-2096918946-1828025808-1361462980-35687)"/>
    <protectedRange sqref="T3:T12" name="Damion_7_2_2_3_1_1_1_1_1_4_1_4_1" securityDescriptor="O:WDG:WDD:(A;;CC;;;S-1-5-21-2096918946-1828025808-1361462980-26304)(A;;CC;;;S-1-5-21-2096918946-1828025808-1361462980-35687)"/>
    <protectedRange sqref="T29" name="Damion_7_2_2_3_1_3_1_1_4_1_1_1" securityDescriptor="O:WDG:WDD:(A;;CC;;;S-1-5-21-2096918946-1828025808-1361462980-26304)(A;;CC;;;S-1-5-21-2096918946-1828025808-1361462980-35687)"/>
    <protectedRange sqref="T23" name="Damion_7_2_2_3_1_3_1_5_1_3_1" securityDescriptor="O:WDG:WDD:(A;;CC;;;S-1-5-21-2096918946-1828025808-1361462980-26304)(A;;CC;;;S-1-5-21-2096918946-1828025808-1361462980-35687)"/>
    <protectedRange sqref="Q33:R33" name="Damion_7_2_2_3_1_1_1_1_1_4_1_3" securityDescriptor="O:WDG:WDD:(A;;CC;;;S-1-5-21-2096918946-1828025808-1361462980-26304)(A;;CC;;;S-1-5-21-2096918946-1828025808-1361462980-35687)"/>
    <protectedRange sqref="D44:E45 D34:E40" name="Damion_23_1_1_1_1_3_1_1_1_1_1_4_1_1_1" securityDescriptor="O:WDG:WDD:(A;;CC;;;S-1-5-21-2096918946-1828025808-1361462980-26304)(A;;CC;;;S-1-5-21-2096918946-1828025808-1361462980-35687)"/>
    <protectedRange sqref="S33:U33" name="Damion_7_2_2_3_1_1_1_1_1_4_1_2_1" securityDescriptor="O:WDG:WDD:(A;;CC;;;S-1-5-21-2096918946-1828025808-1361462980-26304)(A;;CC;;;S-1-5-21-2096918946-1828025808-1361462980-35687)"/>
    <protectedRange sqref="Q61:R64" name="Damion_7_2_2_3_1_3_1_5_1_2" securityDescriptor="O:WDG:WDD:(A;;CC;;;S-1-5-21-2096918946-1828025808-1361462980-26304)(A;;CC;;;S-1-5-21-2096918946-1828025808-1361462980-35687)"/>
    <protectedRange sqref="I61:J64" name="Damion_32_1_1_1_2_1_1_1_1_4_1_1" securityDescriptor="O:WDG:WDD:(A;;CC;;;S-1-5-21-2096918946-1828025808-1361462980-26304)(A;;CC;;;S-1-5-21-2096918946-1828025808-1361462980-35687)"/>
    <protectedRange sqref="Q65:R65 Q56:R59 Q48:R52" name="Damion_7_2_2_3_1_1_1_1_1_4_1_1_1" securityDescriptor="O:WDG:WDD:(A;;CC;;;S-1-5-21-2096918946-1828025808-1361462980-26304)(A;;CC;;;S-1-5-21-2096918946-1828025808-1361462980-35687)"/>
    <protectedRange sqref="O56:P56" name="Damion_7_2_2_2_2_1_1_1_1_1_4_1_1_2" securityDescriptor="O:WDG:WDD:(A;;CC;;;S-1-5-21-2096918946-1828025808-1361462980-26304)(A;;CC;;;S-1-5-21-2096918946-1828025808-1361462980-35687)"/>
    <protectedRange sqref="D66:E68" name="Damion_23_1_1_1_1_3_1_1_1_1_1_4_1_1_2" securityDescriptor="O:WDG:WDD:(A;;CC;;;S-1-5-21-2096918946-1828025808-1361462980-26304)(A;;CC;;;S-1-5-21-2096918946-1828025808-1361462980-35687)"/>
  </protectedRanges>
  <conditionalFormatting sqref="B24:B25">
    <cfRule type="containsText" dxfId="24" priority="19" operator="containsText" text="Business">
      <formula>NOT(ISERROR(SEARCH("Business",B24)))</formula>
    </cfRule>
  </conditionalFormatting>
  <conditionalFormatting sqref="B56:B58">
    <cfRule type="containsText" dxfId="23" priority="3" operator="containsText" text="Business">
      <formula>NOT(ISERROR(SEARCH("Business",B56)))</formula>
    </cfRule>
  </conditionalFormatting>
  <conditionalFormatting sqref="C15:C47">
    <cfRule type="cellIs" dxfId="22" priority="9" stopIfTrue="1" operator="equal">
      <formula>"Open"</formula>
    </cfRule>
  </conditionalFormatting>
  <conditionalFormatting sqref="C49:C71 B64">
    <cfRule type="cellIs" dxfId="21" priority="4" stopIfTrue="1" operator="equal">
      <formula>"Open"</formula>
    </cfRule>
  </conditionalFormatting>
  <conditionalFormatting sqref="D17:D21">
    <cfRule type="cellIs" dxfId="20" priority="14" stopIfTrue="1" operator="equal">
      <formula>"Open"</formula>
    </cfRule>
  </conditionalFormatting>
  <conditionalFormatting sqref="D23:D25">
    <cfRule type="cellIs" dxfId="19" priority="23" stopIfTrue="1" operator="equal">
      <formula>"Open"</formula>
    </cfRule>
  </conditionalFormatting>
  <conditionalFormatting sqref="D1:U1 Q30:U32">
    <cfRule type="cellIs" dxfId="18" priority="16" stopIfTrue="1" operator="equal">
      <formula>"Open"</formula>
    </cfRule>
  </conditionalFormatting>
  <conditionalFormatting sqref="F16:H16">
    <cfRule type="cellIs" dxfId="17" priority="20" stopIfTrue="1" operator="equal">
      <formula>"Open"</formula>
    </cfRule>
  </conditionalFormatting>
  <conditionalFormatting sqref="F33:H33 V33:W33">
    <cfRule type="cellIs" dxfId="16" priority="11" stopIfTrue="1" operator="equal">
      <formula>"Open"</formula>
    </cfRule>
  </conditionalFormatting>
  <conditionalFormatting sqref="F48:H53">
    <cfRule type="cellIs" dxfId="15" priority="2" stopIfTrue="1" operator="equal">
      <formula>"Open"</formula>
    </cfRule>
  </conditionalFormatting>
  <conditionalFormatting sqref="F57:H65 B48:C48 F55:H55 V55:W65">
    <cfRule type="cellIs" dxfId="14" priority="8" stopIfTrue="1" operator="equal">
      <formula>"Open"</formula>
    </cfRule>
  </conditionalFormatting>
  <conditionalFormatting sqref="F2:I2 B2:C14 K9:L9 O9:R9 F9:H12 V10:W16 F13:L14 F17:I21 F28:H28">
    <cfRule type="cellIs" dxfId="13" priority="22" stopIfTrue="1" operator="equal">
      <formula>"Open"</formula>
    </cfRule>
  </conditionalFormatting>
  <conditionalFormatting sqref="J2 S2:U2 E2:E15 J17:J21 Q17:U21 E17:E32 Q22:R22">
    <cfRule type="cellIs" dxfId="12" priority="24" stopIfTrue="1" operator="equal">
      <formula>"Open"</formula>
    </cfRule>
  </conditionalFormatting>
  <conditionalFormatting sqref="K33:P36 D34:J37 T44:U44">
    <cfRule type="cellIs" dxfId="11" priority="12" stopIfTrue="1" operator="equal">
      <formula>"Open"</formula>
    </cfRule>
  </conditionalFormatting>
  <conditionalFormatting sqref="K48:P48">
    <cfRule type="cellIs" dxfId="10" priority="5" stopIfTrue="1" operator="equal">
      <formula>"Open"</formula>
    </cfRule>
  </conditionalFormatting>
  <conditionalFormatting sqref="K55:P55">
    <cfRule type="cellIs" dxfId="9" priority="7" stopIfTrue="1" operator="equal">
      <formula>"Open"</formula>
    </cfRule>
  </conditionalFormatting>
  <conditionalFormatting sqref="K59:P65 D61:J61 E62:J62 D63:J64 D66:R68 S66:U71">
    <cfRule type="cellIs" dxfId="8" priority="6" stopIfTrue="1" operator="equal">
      <formula>"Open"</formula>
    </cfRule>
  </conditionalFormatting>
  <conditionalFormatting sqref="M2:P2 V2:W4 F3:H4 B13:B16 N17:N21 P17:P21 B23 V23:W23 F23:H25 I24:I25 K24:K25 M24:P25 V28:W28">
    <cfRule type="cellIs" dxfId="7" priority="25" stopIfTrue="1" operator="equal">
      <formula>"Open"</formula>
    </cfRule>
  </conditionalFormatting>
  <conditionalFormatting sqref="Q13:R14 F15:I15">
    <cfRule type="cellIs" dxfId="6" priority="21" stopIfTrue="1" operator="equal">
      <formula>"Open"</formula>
    </cfRule>
  </conditionalFormatting>
  <conditionalFormatting sqref="Q34:R36 K37:L37 N37 F39:H42">
    <cfRule type="cellIs" dxfId="5" priority="13" stopIfTrue="1" operator="equal">
      <formula>"Open"</formula>
    </cfRule>
  </conditionalFormatting>
  <conditionalFormatting sqref="S15:U15">
    <cfRule type="cellIs" dxfId="4" priority="18" stopIfTrue="1" operator="equal">
      <formula>"Open"</formula>
    </cfRule>
  </conditionalFormatting>
  <conditionalFormatting sqref="S28:U28">
    <cfRule type="cellIs" dxfId="3" priority="17" stopIfTrue="1" operator="equal">
      <formula>"Open"</formula>
    </cfRule>
  </conditionalFormatting>
  <conditionalFormatting sqref="S34:U43 O37:R42 I38:N42 D38:E43 I43:R43 D44:R45 S45:U47 D47:E47 I47:R47">
    <cfRule type="cellIs" dxfId="2" priority="10" stopIfTrue="1" operator="equal">
      <formula>"Open"</formula>
    </cfRule>
  </conditionalFormatting>
  <conditionalFormatting sqref="T13:U14">
    <cfRule type="cellIs" dxfId="1" priority="15" stopIfTrue="1" operator="equal">
      <formula>"Open"</formula>
    </cfRule>
  </conditionalFormatting>
  <conditionalFormatting sqref="V48:W53">
    <cfRule type="cellIs" dxfId="0" priority="1" stopIfTrue="1" operator="equal">
      <formula>"Open"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Shelby Ingram</dc:creator>
  <cp:lastModifiedBy>Shelby Ingram</cp:lastModifiedBy>
  <dcterms:created xsi:type="dcterms:W3CDTF">2026-02-24T16:53:59Z</dcterms:created>
  <dcterms:modified xsi:type="dcterms:W3CDTF">2026-02-24T16:57:15Z</dcterms:modified>
</cp:coreProperties>
</file>